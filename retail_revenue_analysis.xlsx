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ahul\Downloads\Projects\🧠 21-DAY DATA ANALYST READINESS SPRINT\🗓️ WEEK 1 – EXCEL + BUSINESS THINKING (FOUNDATION)\"/>
    </mc:Choice>
  </mc:AlternateContent>
  <xr:revisionPtr revIDLastSave="0" documentId="13_ncr:1_{79E79293-F568-4A7B-AE8F-A0D6F64BCF8C}" xr6:coauthVersionLast="47" xr6:coauthVersionMax="47" xr10:uidLastSave="{00000000-0000-0000-0000-000000000000}"/>
  <bookViews>
    <workbookView xWindow="-98" yWindow="-98" windowWidth="21795" windowHeight="12975" activeTab="1" xr2:uid="{22C41DE4-6F6A-4E36-873A-A498D6F6CA20}"/>
  </bookViews>
  <sheets>
    <sheet name="Clean_Data" sheetId="3" r:id="rId1"/>
    <sheet name="Dashboard" sheetId="1" r:id="rId2"/>
  </sheets>
  <definedNames>
    <definedName name="_xlnm._FilterDatabase" localSheetId="0" hidden="1">Clean_Data!$A$1:$N$29</definedName>
  </definedName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3" l="1"/>
  <c r="M29" i="3" s="1"/>
  <c r="G29" i="3"/>
  <c r="K28" i="3"/>
  <c r="M28" i="3" s="1"/>
  <c r="G28" i="3"/>
  <c r="K27" i="3"/>
  <c r="M27" i="3" s="1"/>
  <c r="G27" i="3"/>
  <c r="K26" i="3"/>
  <c r="M26" i="3" s="1"/>
  <c r="G26" i="3"/>
  <c r="K25" i="3"/>
  <c r="M25" i="3" s="1"/>
  <c r="G25" i="3"/>
  <c r="K24" i="3"/>
  <c r="M24" i="3" s="1"/>
  <c r="G24" i="3"/>
  <c r="K23" i="3"/>
  <c r="M23" i="3" s="1"/>
  <c r="G23" i="3"/>
  <c r="K22" i="3"/>
  <c r="M22" i="3" s="1"/>
  <c r="G22" i="3"/>
  <c r="K21" i="3"/>
  <c r="M21" i="3" s="1"/>
  <c r="G21" i="3"/>
  <c r="K20" i="3"/>
  <c r="M20" i="3" s="1"/>
  <c r="G20" i="3"/>
  <c r="K19" i="3"/>
  <c r="M19" i="3" s="1"/>
  <c r="G19" i="3"/>
  <c r="K18" i="3"/>
  <c r="M18" i="3" s="1"/>
  <c r="G18" i="3"/>
  <c r="K17" i="3"/>
  <c r="M17" i="3" s="1"/>
  <c r="G17" i="3"/>
  <c r="K16" i="3"/>
  <c r="M16" i="3" s="1"/>
  <c r="G16" i="3"/>
  <c r="K15" i="3"/>
  <c r="M15" i="3" s="1"/>
  <c r="G15" i="3"/>
  <c r="K14" i="3"/>
  <c r="M14" i="3" s="1"/>
  <c r="G14" i="3"/>
  <c r="K13" i="3"/>
  <c r="M13" i="3" s="1"/>
  <c r="G13" i="3"/>
  <c r="K12" i="3"/>
  <c r="M12" i="3" s="1"/>
  <c r="G12" i="3"/>
  <c r="K11" i="3"/>
  <c r="M11" i="3" s="1"/>
  <c r="G11" i="3"/>
  <c r="K10" i="3"/>
  <c r="M10" i="3" s="1"/>
  <c r="G10" i="3"/>
  <c r="K9" i="3"/>
  <c r="M9" i="3" s="1"/>
  <c r="G9" i="3"/>
  <c r="K8" i="3"/>
  <c r="M8" i="3" s="1"/>
  <c r="G8" i="3"/>
  <c r="K7" i="3"/>
  <c r="M7" i="3" s="1"/>
  <c r="G7" i="3"/>
  <c r="K6" i="3"/>
  <c r="M6" i="3" s="1"/>
  <c r="G6" i="3"/>
  <c r="K5" i="3"/>
  <c r="M5" i="3" s="1"/>
  <c r="G5" i="3"/>
  <c r="K4" i="3"/>
  <c r="M4" i="3" s="1"/>
  <c r="G4" i="3"/>
  <c r="K3" i="3"/>
  <c r="M3" i="3" s="1"/>
  <c r="G3" i="3"/>
  <c r="K2" i="3"/>
  <c r="M2" i="3" s="1"/>
  <c r="G2" i="3"/>
</calcChain>
</file>

<file path=xl/sharedStrings.xml><?xml version="1.0" encoding="utf-8"?>
<sst xmlns="http://schemas.openxmlformats.org/spreadsheetml/2006/main" count="204" uniqueCount="77">
  <si>
    <t>KPI</t>
  </si>
  <si>
    <t>Value</t>
  </si>
  <si>
    <t>Rule</t>
  </si>
  <si>
    <t>Gross Sales</t>
  </si>
  <si>
    <t>Calculated sales only</t>
  </si>
  <si>
    <t>Net Revenue</t>
  </si>
  <si>
    <t>Includes refunds</t>
  </si>
  <si>
    <t>Refund Amount</t>
  </si>
  <si>
    <t>Shown separately</t>
  </si>
  <si>
    <t>Total Quantity Sold</t>
  </si>
  <si>
    <t>Sale only</t>
  </si>
  <si>
    <t>AOV (Temp)</t>
  </si>
  <si>
    <t>Mention “temporary”</t>
  </si>
  <si>
    <t>2️⃣ DASHBOARD KPIs (TOP SECTION)</t>
  </si>
  <si>
    <t>3️⃣ CORE VISUALS (MAX 4 — DO NOT ADD MORE)</t>
  </si>
  <si>
    <t>📊 Visual 1: Sales by Region</t>
  </si>
  <si>
    <r>
      <t>Type:</t>
    </r>
    <r>
      <rPr>
        <sz val="11"/>
        <color theme="1"/>
        <rFont val="Aptos Narrow"/>
        <family val="2"/>
        <scheme val="minor"/>
      </rPr>
      <t xml:space="preserve"> Column Chart</t>
    </r>
  </si>
  <si>
    <r>
      <t>Data:</t>
    </r>
    <r>
      <rPr>
        <sz val="11"/>
        <color theme="1"/>
        <rFont val="Aptos Narrow"/>
        <family val="2"/>
        <scheme val="minor"/>
      </rPr>
      <t xml:space="preserve"> Net Revenue by Region</t>
    </r>
  </si>
  <si>
    <r>
      <t>Question answered: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Which region drives revenue?</t>
    </r>
  </si>
  <si>
    <t>Date</t>
  </si>
  <si>
    <t>Region</t>
  </si>
  <si>
    <t>Store</t>
  </si>
  <si>
    <t>Product_Clean</t>
  </si>
  <si>
    <t>Category_Clean</t>
  </si>
  <si>
    <t>Quantity</t>
  </si>
  <si>
    <t>Transaction_Type</t>
  </si>
  <si>
    <t>Unit Price</t>
  </si>
  <si>
    <t>Discount %</t>
  </si>
  <si>
    <t>Sales_Raw</t>
  </si>
  <si>
    <t>Sales_Calculated</t>
  </si>
  <si>
    <t>Revenue_Raw</t>
  </si>
  <si>
    <t>Sales_Variance_Calc</t>
  </si>
  <si>
    <t>Payment_Method_Clean</t>
  </si>
  <si>
    <t>North</t>
  </si>
  <si>
    <t>Store-001</t>
  </si>
  <si>
    <t>Red T-Shirt</t>
  </si>
  <si>
    <t>Menswear</t>
  </si>
  <si>
    <t>Credit Card</t>
  </si>
  <si>
    <t>Blue Jeans</t>
  </si>
  <si>
    <t>Cash</t>
  </si>
  <si>
    <t>South</t>
  </si>
  <si>
    <t>Store-014</t>
  </si>
  <si>
    <t>Sports Shoes</t>
  </si>
  <si>
    <t>Footwear</t>
  </si>
  <si>
    <t>UPI</t>
  </si>
  <si>
    <t>White Socks</t>
  </si>
  <si>
    <t>Accessories</t>
  </si>
  <si>
    <t>East</t>
  </si>
  <si>
    <t>Store-007</t>
  </si>
  <si>
    <t>Black Jacket</t>
  </si>
  <si>
    <t>Outerwear</t>
  </si>
  <si>
    <t>West</t>
  </si>
  <si>
    <t>Store-023</t>
  </si>
  <si>
    <t>Running Shorts</t>
  </si>
  <si>
    <t>Sportswear</t>
  </si>
  <si>
    <t>Store-003</t>
  </si>
  <si>
    <t>Store-010</t>
  </si>
  <si>
    <t>Coupon</t>
  </si>
  <si>
    <t>Store-005</t>
  </si>
  <si>
    <t>Store-030</t>
  </si>
  <si>
    <t>Gift Credit Card</t>
  </si>
  <si>
    <t>Other</t>
  </si>
  <si>
    <t>Refund</t>
  </si>
  <si>
    <t>Sum of Revenue_Raw</t>
  </si>
  <si>
    <t>📈 Visual 2: Daily Sales Trend</t>
  </si>
  <si>
    <r>
      <rPr>
        <b/>
        <sz val="11"/>
        <color theme="1"/>
        <rFont val="Aptos Narrow"/>
        <family val="2"/>
        <scheme val="minor"/>
      </rPr>
      <t>Type:</t>
    </r>
    <r>
      <rPr>
        <sz val="11"/>
        <color theme="1"/>
        <rFont val="Aptos Narrow"/>
        <family val="2"/>
        <scheme val="minor"/>
      </rPr>
      <t xml:space="preserve"> Line Chart</t>
    </r>
  </si>
  <si>
    <r>
      <rPr>
        <b/>
        <sz val="11"/>
        <color theme="1"/>
        <rFont val="Aptos Narrow"/>
        <family val="2"/>
        <scheme val="minor"/>
      </rPr>
      <t>Data:</t>
    </r>
    <r>
      <rPr>
        <sz val="11"/>
        <color theme="1"/>
        <rFont val="Aptos Narrow"/>
        <family val="2"/>
        <scheme val="minor"/>
      </rPr>
      <t xml:space="preserve"> Net Revenue by Date</t>
    </r>
  </si>
  <si>
    <r>
      <rPr>
        <b/>
        <sz val="11"/>
        <color theme="1"/>
        <rFont val="Aptos Narrow"/>
        <family val="2"/>
        <scheme val="minor"/>
      </rPr>
      <t>Question answered:</t>
    </r>
    <r>
      <rPr>
        <sz val="11"/>
        <color theme="1"/>
        <rFont val="Aptos Narrow"/>
        <family val="2"/>
        <scheme val="minor"/>
      </rPr>
      <t xml:space="preserve"> Are sales improving or declining?</t>
    </r>
  </si>
  <si>
    <t>📦 Visual 3: Category Contribution</t>
  </si>
  <si>
    <r>
      <t>Type:</t>
    </r>
    <r>
      <rPr>
        <sz val="11"/>
        <color theme="1"/>
        <rFont val="Aptos Narrow"/>
        <family val="2"/>
        <scheme val="minor"/>
      </rPr>
      <t xml:space="preserve"> Bar / Donut (simple)</t>
    </r>
  </si>
  <si>
    <r>
      <t>Data:</t>
    </r>
    <r>
      <rPr>
        <sz val="11"/>
        <color theme="1"/>
        <rFont val="Aptos Narrow"/>
        <family val="2"/>
        <scheme val="minor"/>
      </rPr>
      <t xml:space="preserve"> Net Revenue by Category</t>
    </r>
  </si>
  <si>
    <r>
      <t>Question answered: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Which product categories matter most?</t>
    </r>
  </si>
  <si>
    <t>🔻 Visual 4: Refund Impact</t>
  </si>
  <si>
    <r>
      <t>Type:</t>
    </r>
    <r>
      <rPr>
        <sz val="11"/>
        <color theme="1"/>
        <rFont val="Aptos Narrow"/>
        <family val="2"/>
        <scheme val="minor"/>
      </rPr>
      <t xml:space="preserve"> Simple bar</t>
    </r>
  </si>
  <si>
    <r>
      <t>Data:</t>
    </r>
    <r>
      <rPr>
        <sz val="11"/>
        <color theme="1"/>
        <rFont val="Aptos Narrow"/>
        <family val="2"/>
        <scheme val="minor"/>
      </rPr>
      <t xml:space="preserve"> Refund Amount by Store or Product</t>
    </r>
  </si>
  <si>
    <r>
      <t>Question answered: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Where are we losing money?</t>
    </r>
  </si>
  <si>
    <t>Refund visualization will activate when refund volume increases.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</si>
</sst>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/>
    </xf>
    <xf numFmtId="1" fontId="0" fillId="0" borderId="1" xfId="0" applyNumberFormat="1" applyBorder="1"/>
    <xf numFmtId="1" fontId="0" fillId="0" borderId="0" xfId="0" applyNumberFormat="1"/>
    <xf numFmtId="0" fontId="0" fillId="0" borderId="0" xfId="0" pivotButton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[DAY-4.xlsx]Dashboard!PivotTable19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Dashboard!$E$14:$E$17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Dashboard!$F$14:$F$17</c:f>
              <c:numCache>
                <c:formatCode>0</c:formatCode>
                <c:ptCount val="4"/>
                <c:pt idx="0">
                  <c:v>403.02</c:v>
                </c:pt>
                <c:pt idx="1">
                  <c:v>378.42</c:v>
                </c:pt>
                <c:pt idx="2">
                  <c:v>262.99</c:v>
                </c:pt>
                <c:pt idx="3">
                  <c:v>243.97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A-490B-B639-5F22E9A30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643787200"/>
        <c:axId val="643796320"/>
      </c:barChart>
      <c:catAx>
        <c:axId val="6437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96320"/>
        <c:crosses val="autoZero"/>
        <c:auto val="1"/>
        <c:lblAlgn val="ctr"/>
        <c:lblOffset val="100"/>
        <c:noMultiLvlLbl val="0"/>
      </c:catAx>
      <c:valAx>
        <c:axId val="64379632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8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[DAY-4.xlsx]Dashboard!PivotTable24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Category Contribution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Dashboard!$R$13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Dashboard!$Q$14:$Q$20</c:f>
              <c:strCache>
                <c:ptCount val="7"/>
                <c:pt idx="0">
                  <c:v>White Socks</c:v>
                </c:pt>
                <c:pt idx="1">
                  <c:v>Red T-Shirt</c:v>
                </c:pt>
                <c:pt idx="2">
                  <c:v>Gift Credit Card</c:v>
                </c:pt>
                <c:pt idx="3">
                  <c:v>Running Shorts</c:v>
                </c:pt>
                <c:pt idx="4">
                  <c:v>Sports Shoes</c:v>
                </c:pt>
                <c:pt idx="5">
                  <c:v>Black Jacket</c:v>
                </c:pt>
                <c:pt idx="6">
                  <c:v>Blue Jeans</c:v>
                </c:pt>
              </c:strCache>
            </c:strRef>
          </c:cat>
          <c:val>
            <c:numRef>
              <c:f>Dashboard!$R$14:$R$20</c:f>
              <c:numCache>
                <c:formatCode>0</c:formatCode>
                <c:ptCount val="7"/>
                <c:pt idx="0">
                  <c:v>49.5</c:v>
                </c:pt>
                <c:pt idx="1">
                  <c:v>59.97</c:v>
                </c:pt>
                <c:pt idx="2">
                  <c:v>100</c:v>
                </c:pt>
                <c:pt idx="3">
                  <c:v>124.94999999999999</c:v>
                </c:pt>
                <c:pt idx="4">
                  <c:v>290.95</c:v>
                </c:pt>
                <c:pt idx="5">
                  <c:v>323.95999999999998</c:v>
                </c:pt>
                <c:pt idx="6">
                  <c:v>339.07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0-4693-9F2B-688CA019A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0595984"/>
        <c:axId val="1950588304"/>
      </c:barChart>
      <c:catAx>
        <c:axId val="1950595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588304"/>
        <c:crosses val="autoZero"/>
        <c:auto val="1"/>
        <c:lblAlgn val="ctr"/>
        <c:lblOffset val="100"/>
        <c:noMultiLvlLbl val="0"/>
      </c:catAx>
      <c:valAx>
        <c:axId val="19505883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59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Refund Impact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Clean_Data!$D$29</c:f>
              <c:strCache>
                <c:ptCount val="1"/>
                <c:pt idx="0">
                  <c:v>Running Shorts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Clean_Data!$G$2:$G$29</c:f>
              <c:strCache>
                <c:ptCount val="28"/>
                <c:pt idx="0">
                  <c:v>Sale</c:v>
                </c:pt>
                <c:pt idx="1">
                  <c:v>Sale</c:v>
                </c:pt>
                <c:pt idx="2">
                  <c:v>Sale</c:v>
                </c:pt>
                <c:pt idx="3">
                  <c:v>Sale</c:v>
                </c:pt>
                <c:pt idx="4">
                  <c:v>Sale</c:v>
                </c:pt>
                <c:pt idx="5">
                  <c:v>Sale</c:v>
                </c:pt>
                <c:pt idx="6">
                  <c:v>Zero-Qty</c:v>
                </c:pt>
                <c:pt idx="7">
                  <c:v>Sale</c:v>
                </c:pt>
                <c:pt idx="8">
                  <c:v>Sale</c:v>
                </c:pt>
                <c:pt idx="9">
                  <c:v>Sale</c:v>
                </c:pt>
                <c:pt idx="10">
                  <c:v>Sale</c:v>
                </c:pt>
                <c:pt idx="11">
                  <c:v>Sale</c:v>
                </c:pt>
                <c:pt idx="12">
                  <c:v>Refund</c:v>
                </c:pt>
                <c:pt idx="13">
                  <c:v>Sale</c:v>
                </c:pt>
                <c:pt idx="14">
                  <c:v>Sale</c:v>
                </c:pt>
                <c:pt idx="15">
                  <c:v>Sale</c:v>
                </c:pt>
                <c:pt idx="16">
                  <c:v>Sale</c:v>
                </c:pt>
                <c:pt idx="17">
                  <c:v>Sale</c:v>
                </c:pt>
                <c:pt idx="18">
                  <c:v>Sale</c:v>
                </c:pt>
                <c:pt idx="19">
                  <c:v>Sale</c:v>
                </c:pt>
                <c:pt idx="20">
                  <c:v>Sale</c:v>
                </c:pt>
                <c:pt idx="21">
                  <c:v>Sale</c:v>
                </c:pt>
                <c:pt idx="22">
                  <c:v>Sale</c:v>
                </c:pt>
                <c:pt idx="23">
                  <c:v>Sale</c:v>
                </c:pt>
                <c:pt idx="24">
                  <c:v>Sale</c:v>
                </c:pt>
                <c:pt idx="25">
                  <c:v>Sale</c:v>
                </c:pt>
                <c:pt idx="26">
                  <c:v>Sale</c:v>
                </c:pt>
                <c:pt idx="27">
                  <c:v>Sale</c:v>
                </c:pt>
              </c:strCache>
            </c:strRef>
          </c:cat>
          <c:val>
            <c:numRef>
              <c:f>Clean_Data!$G$29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C-4D30-BA57-32E201E4C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3796320"/>
        <c:axId val="643796800"/>
      </c:barChart>
      <c:catAx>
        <c:axId val="643796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96800"/>
        <c:crosses val="autoZero"/>
        <c:auto val="1"/>
        <c:lblAlgn val="ctr"/>
        <c:lblOffset val="100"/>
        <c:noMultiLvlLbl val="0"/>
      </c:catAx>
      <c:valAx>
        <c:axId val="64379680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9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Daily Sales Trend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Clean_Data!$A$2:$A$29</c:f>
              <c:numCache>
                <c:formatCode>[$-14009]yyyy/mm/dd;@</c:formatCode>
                <c:ptCount val="28"/>
                <c:pt idx="0">
                  <c:v>45659</c:v>
                </c:pt>
                <c:pt idx="1">
                  <c:v>45659</c:v>
                </c:pt>
                <c:pt idx="2">
                  <c:v>45659</c:v>
                </c:pt>
                <c:pt idx="3">
                  <c:v>45660</c:v>
                </c:pt>
                <c:pt idx="4">
                  <c:v>45660</c:v>
                </c:pt>
                <c:pt idx="5">
                  <c:v>45660</c:v>
                </c:pt>
                <c:pt idx="6">
                  <c:v>45661</c:v>
                </c:pt>
                <c:pt idx="7">
                  <c:v>45661</c:v>
                </c:pt>
                <c:pt idx="8">
                  <c:v>45662</c:v>
                </c:pt>
                <c:pt idx="9">
                  <c:v>45662</c:v>
                </c:pt>
                <c:pt idx="10">
                  <c:v>45663</c:v>
                </c:pt>
                <c:pt idx="11">
                  <c:v>45663</c:v>
                </c:pt>
                <c:pt idx="12">
                  <c:v>45663</c:v>
                </c:pt>
                <c:pt idx="13">
                  <c:v>45664</c:v>
                </c:pt>
                <c:pt idx="14">
                  <c:v>45664</c:v>
                </c:pt>
                <c:pt idx="15">
                  <c:v>45664</c:v>
                </c:pt>
                <c:pt idx="16">
                  <c:v>45665</c:v>
                </c:pt>
                <c:pt idx="17">
                  <c:v>45665</c:v>
                </c:pt>
                <c:pt idx="18">
                  <c:v>45665</c:v>
                </c:pt>
                <c:pt idx="19">
                  <c:v>45666</c:v>
                </c:pt>
                <c:pt idx="20">
                  <c:v>45666</c:v>
                </c:pt>
                <c:pt idx="21">
                  <c:v>45666</c:v>
                </c:pt>
                <c:pt idx="22">
                  <c:v>45667</c:v>
                </c:pt>
                <c:pt idx="23">
                  <c:v>45667</c:v>
                </c:pt>
                <c:pt idx="24">
                  <c:v>45667</c:v>
                </c:pt>
                <c:pt idx="25">
                  <c:v>45667</c:v>
                </c:pt>
                <c:pt idx="26">
                  <c:v>45668</c:v>
                </c:pt>
                <c:pt idx="27">
                  <c:v>45668</c:v>
                </c:pt>
              </c:numCache>
            </c:numRef>
          </c:cat>
          <c:val>
            <c:numRef>
              <c:f>Clean_Data!$L$2:$L$29</c:f>
              <c:numCache>
                <c:formatCode>0</c:formatCode>
                <c:ptCount val="28"/>
                <c:pt idx="0">
                  <c:v>39.979999999999997</c:v>
                </c:pt>
                <c:pt idx="1">
                  <c:v>44.55</c:v>
                </c:pt>
                <c:pt idx="2">
                  <c:v>49.5</c:v>
                </c:pt>
                <c:pt idx="3">
                  <c:v>170.97</c:v>
                </c:pt>
                <c:pt idx="4">
                  <c:v>0</c:v>
                </c:pt>
                <c:pt idx="5">
                  <c:v>22.5</c:v>
                </c:pt>
                <c:pt idx="6">
                  <c:v>0</c:v>
                </c:pt>
                <c:pt idx="7">
                  <c:v>71.989999999999995</c:v>
                </c:pt>
                <c:pt idx="8">
                  <c:v>99</c:v>
                </c:pt>
                <c:pt idx="9">
                  <c:v>24.99</c:v>
                </c:pt>
                <c:pt idx="10">
                  <c:v>13.5</c:v>
                </c:pt>
                <c:pt idx="11">
                  <c:v>13.5</c:v>
                </c:pt>
                <c:pt idx="12">
                  <c:v>-19.989999999999998</c:v>
                </c:pt>
                <c:pt idx="13">
                  <c:v>89.99</c:v>
                </c:pt>
                <c:pt idx="14">
                  <c:v>24.99</c:v>
                </c:pt>
                <c:pt idx="15">
                  <c:v>49.98</c:v>
                </c:pt>
                <c:pt idx="16">
                  <c:v>19.989999999999998</c:v>
                </c:pt>
                <c:pt idx="17">
                  <c:v>49.5</c:v>
                </c:pt>
                <c:pt idx="18">
                  <c:v>49.5</c:v>
                </c:pt>
                <c:pt idx="19">
                  <c:v>59.99</c:v>
                </c:pt>
                <c:pt idx="20">
                  <c:v>59.99</c:v>
                </c:pt>
                <c:pt idx="21">
                  <c:v>0</c:v>
                </c:pt>
                <c:pt idx="22">
                  <c:v>161.97999999999999</c:v>
                </c:pt>
                <c:pt idx="23">
                  <c:v>100</c:v>
                </c:pt>
                <c:pt idx="24">
                  <c:v>19.989999999999998</c:v>
                </c:pt>
                <c:pt idx="25">
                  <c:v>0</c:v>
                </c:pt>
                <c:pt idx="26">
                  <c:v>47.02</c:v>
                </c:pt>
                <c:pt idx="27">
                  <c:v>24.99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2E-4C0D-9549-A42DB072B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853135"/>
        <c:axId val="938852655"/>
      </c:lineChart>
      <c:dateAx>
        <c:axId val="938853135"/>
        <c:scaling>
          <c:orientation val="minMax"/>
        </c:scaling>
        <c:delete val="0"/>
        <c:axPos val="b"/>
        <c:numFmt formatCode="[$-14009]dd/mm/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852655"/>
        <c:crossesAt val="0"/>
        <c:auto val="1"/>
        <c:lblOffset val="100"/>
        <c:baseTimeUnit val="days"/>
      </c:dateAx>
      <c:valAx>
        <c:axId val="938852655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85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77942</xdr:colOff>
      <xdr:row>18</xdr:row>
      <xdr:rowOff>51585</xdr:rowOff>
    </xdr:from>
    <xdr:to>
      <xdr:col>4</xdr:col>
      <xdr:colOff>472446</xdr:colOff>
      <xdr:row>33</xdr:row>
      <xdr:rowOff>110306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0F705C-9B7F-7EC4-E68E-27839DC12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649952</xdr:colOff>
      <xdr:row>18</xdr:row>
      <xdr:rowOff>65901</xdr:rowOff>
    </xdr:from>
    <xdr:to>
      <xdr:col>15</xdr:col>
      <xdr:colOff>21817</xdr:colOff>
      <xdr:row>33</xdr:row>
      <xdr:rowOff>106061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95E9693F-CCA2-6F74-3ECD-F37805A92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26549</xdr:colOff>
      <xdr:row>43</xdr:row>
      <xdr:rowOff>83975</xdr:rowOff>
    </xdr:from>
    <xdr:to>
      <xdr:col>15</xdr:col>
      <xdr:colOff>62673</xdr:colOff>
      <xdr:row>58</xdr:row>
      <xdr:rowOff>122918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7ACA0DD5-7C7E-498B-308D-A71BFBE2E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243537</xdr:colOff>
      <xdr:row>43</xdr:row>
      <xdr:rowOff>102826</xdr:rowOff>
    </xdr:from>
    <xdr:to>
      <xdr:col>4</xdr:col>
      <xdr:colOff>621289</xdr:colOff>
      <xdr:row>58</xdr:row>
      <xdr:rowOff>167121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B40F2B5-56C1-4931-9B88-81BEF3AC0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Bhagat" refreshedDate="46046.839124537037" createdVersion="8" refreshedVersion="8" minRefreshableVersion="3" recordCount="28" xr:uid="{CC444E01-0157-4B2F-ACD0-22BBFC332063}">
  <cacheSource type="worksheet">
    <worksheetSource ref="A1:N29" sheet="Clean_Data"/>
  </cacheSource>
  <cacheFields count="14">
    <cacheField name="Date" numFmtId="164">
      <sharedItems containsSemiMixedTypes="0" containsNonDate="0" containsDate="1" containsString="0" minDate="2025-01-02T00:00:00" maxDate="2025-01-12T00:00:00"/>
    </cacheField>
    <cacheField name="Region" numFmtId="0">
      <sharedItems count="4">
        <s v="North"/>
        <s v="South"/>
        <s v="East"/>
        <s v="West"/>
      </sharedItems>
    </cacheField>
    <cacheField name="Store" numFmtId="0">
      <sharedItems/>
    </cacheField>
    <cacheField name="Product_Clean" numFmtId="0">
      <sharedItems/>
    </cacheField>
    <cacheField name="Category_Clean" numFmtId="0">
      <sharedItems/>
    </cacheField>
    <cacheField name="Quantity" numFmtId="1">
      <sharedItems containsSemiMixedTypes="0" containsString="0" containsNumber="1" minValue="-1" maxValue="5"/>
    </cacheField>
    <cacheField name="Transaction_Type" numFmtId="1">
      <sharedItems/>
    </cacheField>
    <cacheField name="Unit Price" numFmtId="1">
      <sharedItems containsSemiMixedTypes="0" containsString="0" containsNumber="1" minValue="0" maxValue="100"/>
    </cacheField>
    <cacheField name="Discount %" numFmtId="1">
      <sharedItems containsSemiMixedTypes="0" containsString="0" containsNumber="1" minValue="0" maxValue="50"/>
    </cacheField>
    <cacheField name="Sales_Raw" numFmtId="1">
      <sharedItems containsString="0" containsBlank="1" containsNumber="1" minValue="-19.989999999999998" maxValue="170.97"/>
    </cacheField>
    <cacheField name="Sales_Calculated" numFmtId="1">
      <sharedItems containsSemiMixedTypes="0" containsString="0" containsNumber="1" minValue="-19.989999999999998" maxValue="170.97149999999999"/>
    </cacheField>
    <cacheField name="Revenue_Raw" numFmtId="1">
      <sharedItems containsSemiMixedTypes="0" containsString="0" containsNumber="1" minValue="-19.989999999999998" maxValue="170.97"/>
    </cacheField>
    <cacheField name="Sales_Variance_Calc" numFmtId="1">
      <sharedItems containsSemiMixedTypes="0" containsString="0" containsNumber="1" minValue="-3.9960009999999997" maxValue="1.4999999999929514E-3"/>
    </cacheField>
    <cacheField name="Payment_Method_Cle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Bhagat" refreshedDate="46046.876137962965" createdVersion="8" refreshedVersion="8" minRefreshableVersion="3" recordCount="28" xr:uid="{CDCE08F8-E824-4A59-8195-D825F04B339F}">
  <cacheSource type="worksheet">
    <worksheetSource ref="A1:N29" sheet="Clean_Data"/>
  </cacheSource>
  <cacheFields count="14">
    <cacheField name="Date" numFmtId="164">
      <sharedItems containsSemiMixedTypes="0" containsNonDate="0" containsDate="1" containsString="0" minDate="2025-01-02T00:00:00" maxDate="2025-01-12T00:00:00"/>
    </cacheField>
    <cacheField name="Region" numFmtId="0">
      <sharedItems/>
    </cacheField>
    <cacheField name="Store" numFmtId="0">
      <sharedItems/>
    </cacheField>
    <cacheField name="Product_Clean" numFmtId="0">
      <sharedItems count="7">
        <s v="Red T-Shirt"/>
        <s v="Blue Jeans"/>
        <s v="Sports Shoes"/>
        <s v="White Socks"/>
        <s v="Black Jacket"/>
        <s v="Running Shorts"/>
        <s v="Gift Credit Card"/>
      </sharedItems>
    </cacheField>
    <cacheField name="Category_Clean" numFmtId="0">
      <sharedItems/>
    </cacheField>
    <cacheField name="Quantity" numFmtId="1">
      <sharedItems containsSemiMixedTypes="0" containsString="0" containsNumber="1" minValue="-1" maxValue="5"/>
    </cacheField>
    <cacheField name="Transaction_Type" numFmtId="1">
      <sharedItems/>
    </cacheField>
    <cacheField name="Unit Price" numFmtId="1">
      <sharedItems containsSemiMixedTypes="0" containsString="0" containsNumber="1" minValue="0" maxValue="100"/>
    </cacheField>
    <cacheField name="Discount %" numFmtId="1">
      <sharedItems containsSemiMixedTypes="0" containsString="0" containsNumber="1" minValue="0" maxValue="50"/>
    </cacheField>
    <cacheField name="Sales_Raw" numFmtId="1">
      <sharedItems containsString="0" containsBlank="1" containsNumber="1" minValue="-19.989999999999998" maxValue="170.97"/>
    </cacheField>
    <cacheField name="Sales_Calculated" numFmtId="1">
      <sharedItems containsSemiMixedTypes="0" containsString="0" containsNumber="1" minValue="-19.989999999999998" maxValue="170.97149999999999"/>
    </cacheField>
    <cacheField name="Revenue_Raw" numFmtId="1">
      <sharedItems containsSemiMixedTypes="0" containsString="0" containsNumber="1" minValue="-19.989999999999998" maxValue="170.97"/>
    </cacheField>
    <cacheField name="Sales_Variance_Calc" numFmtId="1">
      <sharedItems containsSemiMixedTypes="0" containsString="0" containsNumber="1" minValue="-3.9960009999999997" maxValue="1.4999999999929514E-3"/>
    </cacheField>
    <cacheField name="Payment_Method_Cle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01-02T00:00:00"/>
    <x v="0"/>
    <s v="Store-001"/>
    <s v="Red T-Shirt"/>
    <s v="Menswear"/>
    <n v="2"/>
    <s v="Sale"/>
    <n v="19.989999999999998"/>
    <n v="0"/>
    <n v="39.979999999999997"/>
    <n v="39.979999999999997"/>
    <n v="39.979999999999997"/>
    <n v="0"/>
    <s v="Credit Card"/>
  </r>
  <r>
    <d v="2025-01-02T00:00:00"/>
    <x v="0"/>
    <s v="Store-001"/>
    <s v="Blue Jeans"/>
    <s v="Menswear"/>
    <n v="1"/>
    <s v="Sale"/>
    <n v="49.5"/>
    <n v="10"/>
    <n v="44.55"/>
    <n v="44.550000000000004"/>
    <n v="44.55"/>
    <n v="0"/>
    <s v="Cash"/>
  </r>
  <r>
    <d v="2025-01-02T00:00:00"/>
    <x v="0"/>
    <s v="Store-001"/>
    <s v="Blue Jeans"/>
    <s v="Menswear"/>
    <n v="1"/>
    <s v="Sale"/>
    <n v="49.5"/>
    <n v="0"/>
    <n v="49.5"/>
    <n v="49.5"/>
    <n v="49.5"/>
    <n v="0"/>
    <s v="Credit Card"/>
  </r>
  <r>
    <d v="2025-01-03T00:00:00"/>
    <x v="1"/>
    <s v="Store-014"/>
    <s v="Sports Shoes"/>
    <s v="Footwear"/>
    <n v="3"/>
    <s v="Sale"/>
    <n v="59.99"/>
    <n v="5"/>
    <n v="170.97"/>
    <n v="170.97149999999999"/>
    <n v="170.97"/>
    <n v="1.4999999999929514E-3"/>
    <s v="UPI"/>
  </r>
  <r>
    <d v="2025-01-03T00:00:00"/>
    <x v="1"/>
    <s v="Store-014"/>
    <s v="Red T-Shirt"/>
    <s v="Menswear"/>
    <n v="1"/>
    <s v="Sale"/>
    <n v="19.989999999999998"/>
    <n v="19.989999999999998"/>
    <n v="19.989999999999998"/>
    <n v="15.993998999999999"/>
    <n v="0"/>
    <n v="-3.9960009999999997"/>
    <s v="Credit Card"/>
  </r>
  <r>
    <d v="2025-01-03T00:00:00"/>
    <x v="1"/>
    <s v="Store-014"/>
    <s v="White Socks"/>
    <s v="Accessories"/>
    <n v="5"/>
    <s v="Sale"/>
    <n v="4.5"/>
    <n v="0"/>
    <n v="22.5"/>
    <n v="22.5"/>
    <n v="22.5"/>
    <n v="0"/>
    <s v="Cash"/>
  </r>
  <r>
    <d v="2025-01-04T00:00:00"/>
    <x v="2"/>
    <s v="Store-007"/>
    <s v="Red T-Shirt"/>
    <s v="Menswear"/>
    <n v="0"/>
    <s v="Zero-Qty"/>
    <n v="19.989999999999998"/>
    <n v="0"/>
    <n v="0"/>
    <n v="0"/>
    <n v="0"/>
    <n v="0"/>
    <s v="Credit Card"/>
  </r>
  <r>
    <d v="2025-01-04T00:00:00"/>
    <x v="2"/>
    <s v="Store-007"/>
    <s v="Black Jacket"/>
    <s v="Outerwear"/>
    <n v="1"/>
    <s v="Sale"/>
    <n v="89.99"/>
    <n v="20"/>
    <n v="71.992000000000004"/>
    <n v="71.992000000000004"/>
    <n v="71.989999999999995"/>
    <n v="0"/>
    <s v="Credit Card"/>
  </r>
  <r>
    <d v="2025-01-05T00:00:00"/>
    <x v="3"/>
    <s v="Store-023"/>
    <s v="Blue Jeans"/>
    <s v="Menswear"/>
    <n v="2"/>
    <s v="Sale"/>
    <n v="49.5"/>
    <n v="0"/>
    <n v="99"/>
    <n v="99"/>
    <n v="99"/>
    <n v="0"/>
    <s v="UPI"/>
  </r>
  <r>
    <d v="2025-01-05T00:00:00"/>
    <x v="3"/>
    <s v="Store-023"/>
    <s v="Running Shorts"/>
    <s v="Sportswear"/>
    <n v="1"/>
    <s v="Sale"/>
    <n v="24.99"/>
    <n v="0"/>
    <n v="24.99"/>
    <n v="24.99"/>
    <n v="24.99"/>
    <n v="0"/>
    <s v="Credit Card"/>
  </r>
  <r>
    <d v="2025-01-06T00:00:00"/>
    <x v="0"/>
    <s v="Store-003"/>
    <s v="White Socks"/>
    <s v="Accessories"/>
    <n v="3"/>
    <s v="Sale"/>
    <n v="4.5"/>
    <n v="0"/>
    <n v="13.5"/>
    <n v="13.5"/>
    <n v="13.5"/>
    <n v="0"/>
    <s v="Cash"/>
  </r>
  <r>
    <d v="2025-01-06T00:00:00"/>
    <x v="0"/>
    <s v="Store-003"/>
    <s v="White Socks"/>
    <s v="Accessories"/>
    <n v="3"/>
    <s v="Sale"/>
    <n v="4.5"/>
    <n v="0"/>
    <n v="13.5"/>
    <n v="13.5"/>
    <n v="13.5"/>
    <n v="0"/>
    <s v="Cash"/>
  </r>
  <r>
    <d v="2025-01-06T00:00:00"/>
    <x v="0"/>
    <s v="Store-003"/>
    <s v="Red T-Shirt"/>
    <s v="Menswear"/>
    <n v="-1"/>
    <s v="Refund"/>
    <n v="19.989999999999998"/>
    <n v="0"/>
    <n v="-19.989999999999998"/>
    <n v="-19.989999999999998"/>
    <n v="-19.989999999999998"/>
    <n v="0"/>
    <s v="Refund"/>
  </r>
  <r>
    <d v="2025-01-07T00:00:00"/>
    <x v="1"/>
    <s v="Store-010"/>
    <s v="Black Jacket"/>
    <s v="Outerwear"/>
    <n v="1"/>
    <s v="Sale"/>
    <n v="89.99"/>
    <n v="0"/>
    <n v="89.99"/>
    <n v="89.99"/>
    <n v="89.99"/>
    <n v="0"/>
    <s v="Credit Card"/>
  </r>
  <r>
    <d v="2025-01-07T00:00:00"/>
    <x v="1"/>
    <s v="Store-010"/>
    <s v="Running Shorts"/>
    <s v="Sportswear"/>
    <n v="2"/>
    <s v="Sale"/>
    <n v="24.99"/>
    <n v="50"/>
    <n v="24.99"/>
    <n v="24.99"/>
    <n v="24.99"/>
    <n v="0"/>
    <s v="Coupon"/>
  </r>
  <r>
    <d v="2025-01-07T00:00:00"/>
    <x v="1"/>
    <s v="Store-010"/>
    <s v="Running Shorts"/>
    <s v="Sportswear"/>
    <n v="2"/>
    <s v="Sale"/>
    <n v="24.99"/>
    <n v="0"/>
    <n v="49.98"/>
    <n v="49.98"/>
    <n v="49.98"/>
    <n v="0"/>
    <s v="Coupon"/>
  </r>
  <r>
    <d v="2025-01-08T00:00:00"/>
    <x v="2"/>
    <s v="Store-005"/>
    <s v="Red T-Shirt"/>
    <s v="Menswear"/>
    <n v="1"/>
    <s v="Sale"/>
    <n v="19.989999999999998"/>
    <n v="0"/>
    <n v="19.989999999999998"/>
    <n v="19.989999999999998"/>
    <n v="19.989999999999998"/>
    <n v="0"/>
    <s v="Cash"/>
  </r>
  <r>
    <d v="2025-01-08T00:00:00"/>
    <x v="2"/>
    <s v="Store-005"/>
    <s v="Blue Jeans"/>
    <s v="Menswear"/>
    <n v="1"/>
    <s v="Sale"/>
    <n v="49.5"/>
    <n v="0"/>
    <n v="49.5"/>
    <n v="49.5"/>
    <n v="49.5"/>
    <n v="0"/>
    <s v="Credit Card"/>
  </r>
  <r>
    <d v="2025-01-08T00:00:00"/>
    <x v="2"/>
    <s v="Store-005"/>
    <s v="Blue Jeans"/>
    <s v="Menswear"/>
    <n v="1"/>
    <s v="Sale"/>
    <n v="49.5"/>
    <n v="0"/>
    <n v="49.5"/>
    <n v="49.5"/>
    <n v="49.5"/>
    <n v="0"/>
    <s v="Credit Card"/>
  </r>
  <r>
    <d v="2025-01-09T00:00:00"/>
    <x v="3"/>
    <s v="Store-030"/>
    <s v="Sports Shoes"/>
    <s v="Footwear"/>
    <n v="1"/>
    <s v="Sale"/>
    <n v="59.99"/>
    <n v="0"/>
    <n v="59.99"/>
    <n v="59.99"/>
    <n v="59.99"/>
    <n v="0"/>
    <s v="UPI"/>
  </r>
  <r>
    <d v="2025-01-09T00:00:00"/>
    <x v="3"/>
    <s v="Store-030"/>
    <s v="Sports Shoes"/>
    <s v="Footwear"/>
    <n v="1"/>
    <s v="Sale"/>
    <n v="59.99"/>
    <n v="0"/>
    <n v="60"/>
    <n v="59.99"/>
    <n v="59.99"/>
    <n v="-9.9999999999980105E-3"/>
    <s v="UPI"/>
  </r>
  <r>
    <d v="2025-01-09T00:00:00"/>
    <x v="3"/>
    <s v="Store-030"/>
    <s v="White Socks"/>
    <s v="Accessories"/>
    <n v="4.5"/>
    <s v="Sale"/>
    <n v="0"/>
    <n v="0"/>
    <n v="0"/>
    <n v="0"/>
    <n v="0"/>
    <n v="0"/>
    <s v="UPI"/>
  </r>
  <r>
    <d v="2025-01-10T00:00:00"/>
    <x v="0"/>
    <s v="Store-001"/>
    <s v="Black Jacket"/>
    <s v="Outerwear"/>
    <n v="2"/>
    <s v="Sale"/>
    <n v="89.99"/>
    <n v="10"/>
    <n v="161.982"/>
    <n v="161.982"/>
    <n v="161.97999999999999"/>
    <n v="0"/>
    <s v="Credit Card"/>
  </r>
  <r>
    <d v="2025-01-10T00:00:00"/>
    <x v="0"/>
    <s v="Store-001"/>
    <s v="Gift Credit Card"/>
    <s v="Other"/>
    <n v="1"/>
    <s v="Sale"/>
    <n v="100"/>
    <n v="0"/>
    <n v="100"/>
    <n v="100"/>
    <n v="100"/>
    <n v="0"/>
    <s v="Credit Card"/>
  </r>
  <r>
    <d v="2025-01-10T00:00:00"/>
    <x v="1"/>
    <s v="Store-014"/>
    <s v="Red T-Shirt"/>
    <s v="Menswear"/>
    <n v="1"/>
    <s v="Sale"/>
    <n v="19.989999999999998"/>
    <n v="0"/>
    <n v="19.989999999999998"/>
    <n v="19.989999999999998"/>
    <n v="19.989999999999998"/>
    <n v="0"/>
    <s v="Cash"/>
  </r>
  <r>
    <d v="2025-01-10T00:00:00"/>
    <x v="1"/>
    <s v="Store-014"/>
    <s v="Red T-Shirt"/>
    <s v="Menswear"/>
    <n v="1"/>
    <s v="Sale"/>
    <n v="0"/>
    <n v="19.989999999999998"/>
    <m/>
    <n v="0"/>
    <n v="0"/>
    <n v="0"/>
    <s v="Cash"/>
  </r>
  <r>
    <d v="2025-01-11T00:00:00"/>
    <x v="2"/>
    <s v="Store-007"/>
    <s v="Blue Jeans"/>
    <s v="Menswear"/>
    <n v="1"/>
    <s v="Sale"/>
    <n v="49.5"/>
    <n v="5"/>
    <n v="47.024999999999999"/>
    <n v="47.024999999999999"/>
    <n v="47.02"/>
    <n v="0"/>
    <s v="Credit Card"/>
  </r>
  <r>
    <d v="2025-01-11T00:00:00"/>
    <x v="2"/>
    <s v="Store-007"/>
    <s v="Running Shorts"/>
    <s v="Sportswear"/>
    <n v="1"/>
    <s v="Sale"/>
    <n v="24.99"/>
    <n v="0"/>
    <n v="24.99"/>
    <n v="24.99"/>
    <n v="24.99"/>
    <n v="0"/>
    <s v="Credit Car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01-02T00:00:00"/>
    <s v="North"/>
    <s v="Store-001"/>
    <x v="0"/>
    <s v="Menswear"/>
    <n v="2"/>
    <s v="Sale"/>
    <n v="19.989999999999998"/>
    <n v="0"/>
    <n v="39.979999999999997"/>
    <n v="39.979999999999997"/>
    <n v="39.979999999999997"/>
    <n v="0"/>
    <s v="Credit Card"/>
  </r>
  <r>
    <d v="2025-01-02T00:00:00"/>
    <s v="North"/>
    <s v="Store-001"/>
    <x v="1"/>
    <s v="Menswear"/>
    <n v="1"/>
    <s v="Sale"/>
    <n v="49.5"/>
    <n v="10"/>
    <n v="44.55"/>
    <n v="44.550000000000004"/>
    <n v="44.55"/>
    <n v="0"/>
    <s v="Cash"/>
  </r>
  <r>
    <d v="2025-01-02T00:00:00"/>
    <s v="North"/>
    <s v="Store-001"/>
    <x v="1"/>
    <s v="Menswear"/>
    <n v="1"/>
    <s v="Sale"/>
    <n v="49.5"/>
    <n v="0"/>
    <n v="49.5"/>
    <n v="49.5"/>
    <n v="49.5"/>
    <n v="0"/>
    <s v="Credit Card"/>
  </r>
  <r>
    <d v="2025-01-03T00:00:00"/>
    <s v="South"/>
    <s v="Store-014"/>
    <x v="2"/>
    <s v="Footwear"/>
    <n v="3"/>
    <s v="Sale"/>
    <n v="59.99"/>
    <n v="5"/>
    <n v="170.97"/>
    <n v="170.97149999999999"/>
    <n v="170.97"/>
    <n v="1.4999999999929514E-3"/>
    <s v="UPI"/>
  </r>
  <r>
    <d v="2025-01-03T00:00:00"/>
    <s v="South"/>
    <s v="Store-014"/>
    <x v="0"/>
    <s v="Menswear"/>
    <n v="1"/>
    <s v="Sale"/>
    <n v="19.989999999999998"/>
    <n v="19.989999999999998"/>
    <n v="19.989999999999998"/>
    <n v="15.993998999999999"/>
    <n v="0"/>
    <n v="-3.9960009999999997"/>
    <s v="Credit Card"/>
  </r>
  <r>
    <d v="2025-01-03T00:00:00"/>
    <s v="South"/>
    <s v="Store-014"/>
    <x v="3"/>
    <s v="Accessories"/>
    <n v="5"/>
    <s v="Sale"/>
    <n v="4.5"/>
    <n v="0"/>
    <n v="22.5"/>
    <n v="22.5"/>
    <n v="22.5"/>
    <n v="0"/>
    <s v="Cash"/>
  </r>
  <r>
    <d v="2025-01-04T00:00:00"/>
    <s v="East"/>
    <s v="Store-007"/>
    <x v="0"/>
    <s v="Menswear"/>
    <n v="0"/>
    <s v="Zero-Qty"/>
    <n v="19.989999999999998"/>
    <n v="0"/>
    <n v="0"/>
    <n v="0"/>
    <n v="0"/>
    <n v="0"/>
    <s v="Credit Card"/>
  </r>
  <r>
    <d v="2025-01-04T00:00:00"/>
    <s v="East"/>
    <s v="Store-007"/>
    <x v="4"/>
    <s v="Outerwear"/>
    <n v="1"/>
    <s v="Sale"/>
    <n v="89.99"/>
    <n v="20"/>
    <n v="71.992000000000004"/>
    <n v="71.992000000000004"/>
    <n v="71.989999999999995"/>
    <n v="0"/>
    <s v="Credit Card"/>
  </r>
  <r>
    <d v="2025-01-05T00:00:00"/>
    <s v="West"/>
    <s v="Store-023"/>
    <x v="1"/>
    <s v="Menswear"/>
    <n v="2"/>
    <s v="Sale"/>
    <n v="49.5"/>
    <n v="0"/>
    <n v="99"/>
    <n v="99"/>
    <n v="99"/>
    <n v="0"/>
    <s v="UPI"/>
  </r>
  <r>
    <d v="2025-01-05T00:00:00"/>
    <s v="West"/>
    <s v="Store-023"/>
    <x v="5"/>
    <s v="Sportswear"/>
    <n v="1"/>
    <s v="Sale"/>
    <n v="24.99"/>
    <n v="0"/>
    <n v="24.99"/>
    <n v="24.99"/>
    <n v="24.99"/>
    <n v="0"/>
    <s v="Credit Card"/>
  </r>
  <r>
    <d v="2025-01-06T00:00:00"/>
    <s v="North"/>
    <s v="Store-003"/>
    <x v="3"/>
    <s v="Accessories"/>
    <n v="3"/>
    <s v="Sale"/>
    <n v="4.5"/>
    <n v="0"/>
    <n v="13.5"/>
    <n v="13.5"/>
    <n v="13.5"/>
    <n v="0"/>
    <s v="Cash"/>
  </r>
  <r>
    <d v="2025-01-06T00:00:00"/>
    <s v="North"/>
    <s v="Store-003"/>
    <x v="3"/>
    <s v="Accessories"/>
    <n v="3"/>
    <s v="Sale"/>
    <n v="4.5"/>
    <n v="0"/>
    <n v="13.5"/>
    <n v="13.5"/>
    <n v="13.5"/>
    <n v="0"/>
    <s v="Cash"/>
  </r>
  <r>
    <d v="2025-01-06T00:00:00"/>
    <s v="North"/>
    <s v="Store-003"/>
    <x v="0"/>
    <s v="Menswear"/>
    <n v="-1"/>
    <s v="Refund"/>
    <n v="19.989999999999998"/>
    <n v="0"/>
    <n v="-19.989999999999998"/>
    <n v="-19.989999999999998"/>
    <n v="-19.989999999999998"/>
    <n v="0"/>
    <s v="Refund"/>
  </r>
  <r>
    <d v="2025-01-07T00:00:00"/>
    <s v="South"/>
    <s v="Store-010"/>
    <x v="4"/>
    <s v="Outerwear"/>
    <n v="1"/>
    <s v="Sale"/>
    <n v="89.99"/>
    <n v="0"/>
    <n v="89.99"/>
    <n v="89.99"/>
    <n v="89.99"/>
    <n v="0"/>
    <s v="Credit Card"/>
  </r>
  <r>
    <d v="2025-01-07T00:00:00"/>
    <s v="South"/>
    <s v="Store-010"/>
    <x v="5"/>
    <s v="Sportswear"/>
    <n v="2"/>
    <s v="Sale"/>
    <n v="24.99"/>
    <n v="50"/>
    <n v="24.99"/>
    <n v="24.99"/>
    <n v="24.99"/>
    <n v="0"/>
    <s v="Coupon"/>
  </r>
  <r>
    <d v="2025-01-07T00:00:00"/>
    <s v="South"/>
    <s v="Store-010"/>
    <x v="5"/>
    <s v="Sportswear"/>
    <n v="2"/>
    <s v="Sale"/>
    <n v="24.99"/>
    <n v="0"/>
    <n v="49.98"/>
    <n v="49.98"/>
    <n v="49.98"/>
    <n v="0"/>
    <s v="Coupon"/>
  </r>
  <r>
    <d v="2025-01-08T00:00:00"/>
    <s v="East"/>
    <s v="Store-005"/>
    <x v="0"/>
    <s v="Menswear"/>
    <n v="1"/>
    <s v="Sale"/>
    <n v="19.989999999999998"/>
    <n v="0"/>
    <n v="19.989999999999998"/>
    <n v="19.989999999999998"/>
    <n v="19.989999999999998"/>
    <n v="0"/>
    <s v="Cash"/>
  </r>
  <r>
    <d v="2025-01-08T00:00:00"/>
    <s v="East"/>
    <s v="Store-005"/>
    <x v="1"/>
    <s v="Menswear"/>
    <n v="1"/>
    <s v="Sale"/>
    <n v="49.5"/>
    <n v="0"/>
    <n v="49.5"/>
    <n v="49.5"/>
    <n v="49.5"/>
    <n v="0"/>
    <s v="Credit Card"/>
  </r>
  <r>
    <d v="2025-01-08T00:00:00"/>
    <s v="East"/>
    <s v="Store-005"/>
    <x v="1"/>
    <s v="Menswear"/>
    <n v="1"/>
    <s v="Sale"/>
    <n v="49.5"/>
    <n v="0"/>
    <n v="49.5"/>
    <n v="49.5"/>
    <n v="49.5"/>
    <n v="0"/>
    <s v="Credit Card"/>
  </r>
  <r>
    <d v="2025-01-09T00:00:00"/>
    <s v="West"/>
    <s v="Store-030"/>
    <x v="2"/>
    <s v="Footwear"/>
    <n v="1"/>
    <s v="Sale"/>
    <n v="59.99"/>
    <n v="0"/>
    <n v="59.99"/>
    <n v="59.99"/>
    <n v="59.99"/>
    <n v="0"/>
    <s v="UPI"/>
  </r>
  <r>
    <d v="2025-01-09T00:00:00"/>
    <s v="West"/>
    <s v="Store-030"/>
    <x v="2"/>
    <s v="Footwear"/>
    <n v="1"/>
    <s v="Sale"/>
    <n v="59.99"/>
    <n v="0"/>
    <n v="60"/>
    <n v="59.99"/>
    <n v="59.99"/>
    <n v="-9.9999999999980105E-3"/>
    <s v="UPI"/>
  </r>
  <r>
    <d v="2025-01-09T00:00:00"/>
    <s v="West"/>
    <s v="Store-030"/>
    <x v="3"/>
    <s v="Accessories"/>
    <n v="4.5"/>
    <s v="Sale"/>
    <n v="0"/>
    <n v="0"/>
    <n v="0"/>
    <n v="0"/>
    <n v="0"/>
    <n v="0"/>
    <s v="UPI"/>
  </r>
  <r>
    <d v="2025-01-10T00:00:00"/>
    <s v="North"/>
    <s v="Store-001"/>
    <x v="4"/>
    <s v="Outerwear"/>
    <n v="2"/>
    <s v="Sale"/>
    <n v="89.99"/>
    <n v="10"/>
    <n v="161.982"/>
    <n v="161.982"/>
    <n v="161.97999999999999"/>
    <n v="0"/>
    <s v="Credit Card"/>
  </r>
  <r>
    <d v="2025-01-10T00:00:00"/>
    <s v="North"/>
    <s v="Store-001"/>
    <x v="6"/>
    <s v="Other"/>
    <n v="1"/>
    <s v="Sale"/>
    <n v="100"/>
    <n v="0"/>
    <n v="100"/>
    <n v="100"/>
    <n v="100"/>
    <n v="0"/>
    <s v="Credit Card"/>
  </r>
  <r>
    <d v="2025-01-10T00:00:00"/>
    <s v="South"/>
    <s v="Store-014"/>
    <x v="0"/>
    <s v="Menswear"/>
    <n v="1"/>
    <s v="Sale"/>
    <n v="19.989999999999998"/>
    <n v="0"/>
    <n v="19.989999999999998"/>
    <n v="19.989999999999998"/>
    <n v="19.989999999999998"/>
    <n v="0"/>
    <s v="Cash"/>
  </r>
  <r>
    <d v="2025-01-10T00:00:00"/>
    <s v="South"/>
    <s v="Store-014"/>
    <x v="0"/>
    <s v="Menswear"/>
    <n v="1"/>
    <s v="Sale"/>
    <n v="0"/>
    <n v="19.989999999999998"/>
    <m/>
    <n v="0"/>
    <n v="0"/>
    <n v="0"/>
    <s v="Cash"/>
  </r>
  <r>
    <d v="2025-01-11T00:00:00"/>
    <s v="East"/>
    <s v="Store-007"/>
    <x v="1"/>
    <s v="Menswear"/>
    <n v="1"/>
    <s v="Sale"/>
    <n v="49.5"/>
    <n v="5"/>
    <n v="47.024999999999999"/>
    <n v="47.024999999999999"/>
    <n v="47.02"/>
    <n v="0"/>
    <s v="Credit Card"/>
  </r>
  <r>
    <d v="2025-01-11T00:00:00"/>
    <s v="East"/>
    <s v="Store-007"/>
    <x v="5"/>
    <s v="Sportswear"/>
    <n v="1"/>
    <s v="Sale"/>
    <n v="24.99"/>
    <n v="0"/>
    <n v="24.99"/>
    <n v="24.99"/>
    <n v="24.99"/>
    <n v="0"/>
    <s v="Cred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7F75AF-580C-4381-B821-5BAF7B48F387}" name="PivotTable1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">
  <location ref="E13:F17" firstHeaderRow="1" firstDataRow="1" firstDataCol="1"/>
  <pivotFields count="14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4">
        <item x="2"/>
        <item x="0"/>
        <item x="1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 v="1"/>
    </i>
    <i>
      <x v="2"/>
    </i>
    <i>
      <x/>
    </i>
    <i>
      <x v="3"/>
    </i>
  </rowItems>
  <colItems count="1">
    <i/>
  </colItems>
  <dataFields count="1">
    <dataField name="Sum of Revenue_Raw" fld="11" baseField="0" baseItem="0" numFmtId="1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0933E-38CB-47A8-AE3B-993B017E30EC}" name="PivotTable2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">
  <location ref="Q13:R20" firstHeaderRow="1" firstDataRow="1" firstDataCol="1"/>
  <pivotFields count="14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7">
        <item x="4"/>
        <item x="1"/>
        <item x="6"/>
        <item x="0"/>
        <item x="5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7">
    <i>
      <x v="6"/>
    </i>
    <i>
      <x v="3"/>
    </i>
    <i>
      <x v="2"/>
    </i>
    <i>
      <x v="4"/>
    </i>
    <i>
      <x v="5"/>
    </i>
    <i>
      <x/>
    </i>
    <i>
      <x v="1"/>
    </i>
  </rowItems>
  <colItems count="1">
    <i/>
  </colItems>
  <dataFields count="1">
    <dataField name="Sum of Revenue_Raw" fld="11" baseField="0" baseItem="0" numFmtId="1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25C4-E01B-4F23-BD42-0A00187B1C08}">
  <dimension ref="A1:N31"/>
  <sheetViews>
    <sheetView workbookViewId="0">
      <selection activeCell="A2" activeCellId="1" sqref="L2:L29 A2:A29"/>
    </sheetView>
  </sheetViews>
  <sheetFormatPr defaultRowHeight="14.25"/>
  <cols>
    <col min="1" max="1" width="9.9296875" bestFit="1" customWidth="1"/>
    <col min="2" max="2" width="6.19921875" bestFit="1" customWidth="1"/>
    <col min="3" max="3" width="8.46484375" bestFit="1" customWidth="1"/>
    <col min="4" max="4" width="13.86328125" customWidth="1"/>
    <col min="5" max="5" width="14.73046875" bestFit="1" customWidth="1"/>
    <col min="6" max="6" width="7.46484375" bestFit="1" customWidth="1"/>
    <col min="7" max="7" width="14.59765625" bestFit="1" customWidth="1"/>
    <col min="8" max="8" width="8.46484375" bestFit="1" customWidth="1"/>
    <col min="9" max="9" width="9.59765625" bestFit="1" customWidth="1"/>
    <col min="10" max="10" width="9.33203125" bestFit="1" customWidth="1"/>
    <col min="11" max="11" width="14.6640625" bestFit="1" customWidth="1"/>
    <col min="12" max="12" width="11.9296875" bestFit="1" customWidth="1"/>
    <col min="13" max="13" width="18.19921875" customWidth="1"/>
    <col min="14" max="14" width="22" bestFit="1" customWidth="1"/>
  </cols>
  <sheetData>
    <row r="1" spans="1:14">
      <c r="A1" s="7" t="s">
        <v>19</v>
      </c>
      <c r="B1" s="8" t="s">
        <v>20</v>
      </c>
      <c r="C1" s="8" t="s">
        <v>21</v>
      </c>
      <c r="D1" s="8" t="s">
        <v>22</v>
      </c>
      <c r="E1" s="9" t="s">
        <v>23</v>
      </c>
      <c r="F1" s="10" t="s">
        <v>24</v>
      </c>
      <c r="G1" s="10" t="s">
        <v>25</v>
      </c>
      <c r="H1" s="10" t="s">
        <v>26</v>
      </c>
      <c r="I1" s="10" t="s">
        <v>27</v>
      </c>
      <c r="J1" s="8" t="s">
        <v>28</v>
      </c>
      <c r="K1" s="8" t="s">
        <v>29</v>
      </c>
      <c r="L1" s="8" t="s">
        <v>30</v>
      </c>
      <c r="M1" s="11" t="s">
        <v>31</v>
      </c>
      <c r="N1" s="9" t="s">
        <v>32</v>
      </c>
    </row>
    <row r="2" spans="1:14">
      <c r="A2" s="12">
        <v>45659</v>
      </c>
      <c r="B2" s="13" t="s">
        <v>33</v>
      </c>
      <c r="C2" s="13" t="s">
        <v>34</v>
      </c>
      <c r="D2" s="14" t="s">
        <v>35</v>
      </c>
      <c r="E2" s="13" t="s">
        <v>36</v>
      </c>
      <c r="F2" s="15">
        <v>2</v>
      </c>
      <c r="G2" s="15" t="str">
        <f t="shared" ref="G2:G29" si="0">IF(F2&lt;0,"Refund",IF(F2=0,"Zero-Qty","Sale"))</f>
        <v>Sale</v>
      </c>
      <c r="H2" s="15">
        <v>19.989999999999998</v>
      </c>
      <c r="I2" s="15">
        <v>0</v>
      </c>
      <c r="J2" s="15">
        <v>39.979999999999997</v>
      </c>
      <c r="K2" s="15">
        <f t="shared" ref="K2:K29" si="1">F2*H2*(1-I2/100)</f>
        <v>39.979999999999997</v>
      </c>
      <c r="L2" s="16">
        <v>39.979999999999997</v>
      </c>
      <c r="M2" s="15">
        <f t="shared" ref="M2:M29" si="2">K2-J2</f>
        <v>0</v>
      </c>
      <c r="N2" s="13" t="s">
        <v>37</v>
      </c>
    </row>
    <row r="3" spans="1:14">
      <c r="A3" s="12">
        <v>45659</v>
      </c>
      <c r="B3" s="13" t="s">
        <v>33</v>
      </c>
      <c r="C3" s="13" t="s">
        <v>34</v>
      </c>
      <c r="D3" s="14" t="s">
        <v>38</v>
      </c>
      <c r="E3" s="13" t="s">
        <v>36</v>
      </c>
      <c r="F3" s="15">
        <v>1</v>
      </c>
      <c r="G3" s="15" t="str">
        <f t="shared" si="0"/>
        <v>Sale</v>
      </c>
      <c r="H3" s="15">
        <v>49.5</v>
      </c>
      <c r="I3" s="15">
        <v>10</v>
      </c>
      <c r="J3" s="15">
        <v>44.55</v>
      </c>
      <c r="K3" s="15">
        <f t="shared" si="1"/>
        <v>44.550000000000004</v>
      </c>
      <c r="L3" s="16">
        <v>44.55</v>
      </c>
      <c r="M3" s="15">
        <f t="shared" si="2"/>
        <v>0</v>
      </c>
      <c r="N3" s="13" t="s">
        <v>39</v>
      </c>
    </row>
    <row r="4" spans="1:14">
      <c r="A4" s="12">
        <v>45659</v>
      </c>
      <c r="B4" s="13" t="s">
        <v>33</v>
      </c>
      <c r="C4" s="13" t="s">
        <v>34</v>
      </c>
      <c r="D4" s="14" t="s">
        <v>38</v>
      </c>
      <c r="E4" s="13" t="s">
        <v>36</v>
      </c>
      <c r="F4" s="15">
        <v>1</v>
      </c>
      <c r="G4" s="15" t="str">
        <f t="shared" si="0"/>
        <v>Sale</v>
      </c>
      <c r="H4" s="15">
        <v>49.5</v>
      </c>
      <c r="I4" s="15">
        <v>0</v>
      </c>
      <c r="J4" s="15">
        <v>49.5</v>
      </c>
      <c r="K4" s="15">
        <f t="shared" si="1"/>
        <v>49.5</v>
      </c>
      <c r="L4" s="16">
        <v>49.5</v>
      </c>
      <c r="M4" s="15">
        <f t="shared" si="2"/>
        <v>0</v>
      </c>
      <c r="N4" s="13" t="s">
        <v>37</v>
      </c>
    </row>
    <row r="5" spans="1:14">
      <c r="A5" s="12">
        <v>45660</v>
      </c>
      <c r="B5" s="13" t="s">
        <v>40</v>
      </c>
      <c r="C5" s="13" t="s">
        <v>41</v>
      </c>
      <c r="D5" s="14" t="s">
        <v>42</v>
      </c>
      <c r="E5" s="13" t="s">
        <v>43</v>
      </c>
      <c r="F5" s="15">
        <v>3</v>
      </c>
      <c r="G5" s="15" t="str">
        <f t="shared" si="0"/>
        <v>Sale</v>
      </c>
      <c r="H5" s="15">
        <v>59.99</v>
      </c>
      <c r="I5" s="15">
        <v>5</v>
      </c>
      <c r="J5" s="15">
        <v>170.97</v>
      </c>
      <c r="K5" s="15">
        <f t="shared" si="1"/>
        <v>170.97149999999999</v>
      </c>
      <c r="L5" s="16">
        <v>170.97</v>
      </c>
      <c r="M5" s="15">
        <f t="shared" si="2"/>
        <v>1.4999999999929514E-3</v>
      </c>
      <c r="N5" s="13" t="s">
        <v>44</v>
      </c>
    </row>
    <row r="6" spans="1:14">
      <c r="A6" s="12">
        <v>45660</v>
      </c>
      <c r="B6" s="13" t="s">
        <v>40</v>
      </c>
      <c r="C6" s="13" t="s">
        <v>41</v>
      </c>
      <c r="D6" s="14" t="s">
        <v>35</v>
      </c>
      <c r="E6" s="13" t="s">
        <v>36</v>
      </c>
      <c r="F6" s="15">
        <v>1</v>
      </c>
      <c r="G6" s="15" t="str">
        <f t="shared" si="0"/>
        <v>Sale</v>
      </c>
      <c r="H6" s="15">
        <v>19.989999999999998</v>
      </c>
      <c r="I6" s="15">
        <v>19.989999999999998</v>
      </c>
      <c r="J6" s="15">
        <v>19.989999999999998</v>
      </c>
      <c r="K6" s="15">
        <f t="shared" si="1"/>
        <v>15.993998999999999</v>
      </c>
      <c r="L6" s="16">
        <v>0</v>
      </c>
      <c r="M6" s="15">
        <f t="shared" si="2"/>
        <v>-3.9960009999999997</v>
      </c>
      <c r="N6" s="13" t="s">
        <v>37</v>
      </c>
    </row>
    <row r="7" spans="1:14">
      <c r="A7" s="12">
        <v>45660</v>
      </c>
      <c r="B7" s="13" t="s">
        <v>40</v>
      </c>
      <c r="C7" s="13" t="s">
        <v>41</v>
      </c>
      <c r="D7" s="14" t="s">
        <v>45</v>
      </c>
      <c r="E7" s="13" t="s">
        <v>46</v>
      </c>
      <c r="F7" s="15">
        <v>5</v>
      </c>
      <c r="G7" s="15" t="str">
        <f t="shared" si="0"/>
        <v>Sale</v>
      </c>
      <c r="H7" s="15">
        <v>4.5</v>
      </c>
      <c r="I7" s="15">
        <v>0</v>
      </c>
      <c r="J7" s="15">
        <v>22.5</v>
      </c>
      <c r="K7" s="15">
        <f t="shared" si="1"/>
        <v>22.5</v>
      </c>
      <c r="L7" s="16">
        <v>22.5</v>
      </c>
      <c r="M7" s="15">
        <f t="shared" si="2"/>
        <v>0</v>
      </c>
      <c r="N7" s="13" t="s">
        <v>39</v>
      </c>
    </row>
    <row r="8" spans="1:14">
      <c r="A8" s="12">
        <v>45661</v>
      </c>
      <c r="B8" s="13" t="s">
        <v>47</v>
      </c>
      <c r="C8" s="13" t="s">
        <v>48</v>
      </c>
      <c r="D8" s="14" t="s">
        <v>35</v>
      </c>
      <c r="E8" s="13" t="s">
        <v>36</v>
      </c>
      <c r="F8" s="15">
        <v>0</v>
      </c>
      <c r="G8" s="15" t="str">
        <f t="shared" si="0"/>
        <v>Zero-Qty</v>
      </c>
      <c r="H8" s="15">
        <v>19.989999999999998</v>
      </c>
      <c r="I8" s="15">
        <v>0</v>
      </c>
      <c r="J8" s="15">
        <v>0</v>
      </c>
      <c r="K8" s="15">
        <f t="shared" si="1"/>
        <v>0</v>
      </c>
      <c r="L8" s="16">
        <v>0</v>
      </c>
      <c r="M8" s="15">
        <f t="shared" si="2"/>
        <v>0</v>
      </c>
      <c r="N8" s="13" t="s">
        <v>37</v>
      </c>
    </row>
    <row r="9" spans="1:14">
      <c r="A9" s="12">
        <v>45661</v>
      </c>
      <c r="B9" s="13" t="s">
        <v>47</v>
      </c>
      <c r="C9" s="13" t="s">
        <v>48</v>
      </c>
      <c r="D9" s="14" t="s">
        <v>49</v>
      </c>
      <c r="E9" s="13" t="s">
        <v>50</v>
      </c>
      <c r="F9" s="15">
        <v>1</v>
      </c>
      <c r="G9" s="15" t="str">
        <f t="shared" si="0"/>
        <v>Sale</v>
      </c>
      <c r="H9" s="15">
        <v>89.99</v>
      </c>
      <c r="I9" s="15">
        <v>20</v>
      </c>
      <c r="J9" s="15">
        <v>71.992000000000004</v>
      </c>
      <c r="K9" s="15">
        <f t="shared" si="1"/>
        <v>71.992000000000004</v>
      </c>
      <c r="L9" s="16">
        <v>71.989999999999995</v>
      </c>
      <c r="M9" s="15">
        <f t="shared" si="2"/>
        <v>0</v>
      </c>
      <c r="N9" s="13" t="s">
        <v>37</v>
      </c>
    </row>
    <row r="10" spans="1:14">
      <c r="A10" s="12">
        <v>45662</v>
      </c>
      <c r="B10" s="13" t="s">
        <v>51</v>
      </c>
      <c r="C10" s="13" t="s">
        <v>52</v>
      </c>
      <c r="D10" s="14" t="s">
        <v>38</v>
      </c>
      <c r="E10" s="13" t="s">
        <v>36</v>
      </c>
      <c r="F10" s="15">
        <v>2</v>
      </c>
      <c r="G10" s="15" t="str">
        <f t="shared" si="0"/>
        <v>Sale</v>
      </c>
      <c r="H10" s="15">
        <v>49.5</v>
      </c>
      <c r="I10" s="15">
        <v>0</v>
      </c>
      <c r="J10" s="15">
        <v>99</v>
      </c>
      <c r="K10" s="15">
        <f t="shared" si="1"/>
        <v>99</v>
      </c>
      <c r="L10" s="16">
        <v>99</v>
      </c>
      <c r="M10" s="15">
        <f t="shared" si="2"/>
        <v>0</v>
      </c>
      <c r="N10" s="13" t="s">
        <v>44</v>
      </c>
    </row>
    <row r="11" spans="1:14">
      <c r="A11" s="12">
        <v>45662</v>
      </c>
      <c r="B11" s="13" t="s">
        <v>51</v>
      </c>
      <c r="C11" s="13" t="s">
        <v>52</v>
      </c>
      <c r="D11" s="14" t="s">
        <v>53</v>
      </c>
      <c r="E11" s="13" t="s">
        <v>54</v>
      </c>
      <c r="F11" s="15">
        <v>1</v>
      </c>
      <c r="G11" s="15" t="str">
        <f t="shared" si="0"/>
        <v>Sale</v>
      </c>
      <c r="H11" s="15">
        <v>24.99</v>
      </c>
      <c r="I11" s="15">
        <v>0</v>
      </c>
      <c r="J11" s="15">
        <v>24.99</v>
      </c>
      <c r="K11" s="15">
        <f t="shared" si="1"/>
        <v>24.99</v>
      </c>
      <c r="L11" s="16">
        <v>24.99</v>
      </c>
      <c r="M11" s="15">
        <f t="shared" si="2"/>
        <v>0</v>
      </c>
      <c r="N11" s="13" t="s">
        <v>37</v>
      </c>
    </row>
    <row r="12" spans="1:14">
      <c r="A12" s="12">
        <v>45663</v>
      </c>
      <c r="B12" s="13" t="s">
        <v>33</v>
      </c>
      <c r="C12" s="13" t="s">
        <v>55</v>
      </c>
      <c r="D12" s="14" t="s">
        <v>45</v>
      </c>
      <c r="E12" s="13" t="s">
        <v>46</v>
      </c>
      <c r="F12" s="15">
        <v>3</v>
      </c>
      <c r="G12" s="15" t="str">
        <f t="shared" si="0"/>
        <v>Sale</v>
      </c>
      <c r="H12" s="15">
        <v>4.5</v>
      </c>
      <c r="I12" s="15">
        <v>0</v>
      </c>
      <c r="J12" s="15">
        <v>13.5</v>
      </c>
      <c r="K12" s="15">
        <f t="shared" si="1"/>
        <v>13.5</v>
      </c>
      <c r="L12" s="16">
        <v>13.5</v>
      </c>
      <c r="M12" s="15">
        <f t="shared" si="2"/>
        <v>0</v>
      </c>
      <c r="N12" s="13" t="s">
        <v>39</v>
      </c>
    </row>
    <row r="13" spans="1:14">
      <c r="A13" s="12">
        <v>45663</v>
      </c>
      <c r="B13" s="13" t="s">
        <v>33</v>
      </c>
      <c r="C13" s="13" t="s">
        <v>55</v>
      </c>
      <c r="D13" s="14" t="s">
        <v>45</v>
      </c>
      <c r="E13" s="13" t="s">
        <v>46</v>
      </c>
      <c r="F13" s="15">
        <v>3</v>
      </c>
      <c r="G13" s="15" t="str">
        <f t="shared" si="0"/>
        <v>Sale</v>
      </c>
      <c r="H13" s="15">
        <v>4.5</v>
      </c>
      <c r="I13" s="15">
        <v>0</v>
      </c>
      <c r="J13" s="15">
        <v>13.5</v>
      </c>
      <c r="K13" s="15">
        <f t="shared" si="1"/>
        <v>13.5</v>
      </c>
      <c r="L13" s="16">
        <v>13.5</v>
      </c>
      <c r="M13" s="15">
        <f t="shared" si="2"/>
        <v>0</v>
      </c>
      <c r="N13" s="13" t="s">
        <v>39</v>
      </c>
    </row>
    <row r="14" spans="1:14">
      <c r="A14" s="12">
        <v>45663</v>
      </c>
      <c r="B14" s="13" t="s">
        <v>33</v>
      </c>
      <c r="C14" s="13" t="s">
        <v>55</v>
      </c>
      <c r="D14" s="14" t="s">
        <v>35</v>
      </c>
      <c r="E14" s="13" t="s">
        <v>36</v>
      </c>
      <c r="F14" s="15">
        <v>-1</v>
      </c>
      <c r="G14" s="15" t="str">
        <f t="shared" si="0"/>
        <v>Refund</v>
      </c>
      <c r="H14" s="15">
        <v>19.989999999999998</v>
      </c>
      <c r="I14" s="15">
        <v>0</v>
      </c>
      <c r="J14" s="15">
        <v>-19.989999999999998</v>
      </c>
      <c r="K14" s="15">
        <f t="shared" si="1"/>
        <v>-19.989999999999998</v>
      </c>
      <c r="L14" s="16">
        <v>-19.989999999999998</v>
      </c>
      <c r="M14" s="15">
        <f t="shared" si="2"/>
        <v>0</v>
      </c>
      <c r="N14" s="13" t="s">
        <v>62</v>
      </c>
    </row>
    <row r="15" spans="1:14">
      <c r="A15" s="12">
        <v>45664</v>
      </c>
      <c r="B15" s="13" t="s">
        <v>40</v>
      </c>
      <c r="C15" s="13" t="s">
        <v>56</v>
      </c>
      <c r="D15" s="14" t="s">
        <v>49</v>
      </c>
      <c r="E15" s="13" t="s">
        <v>50</v>
      </c>
      <c r="F15" s="15">
        <v>1</v>
      </c>
      <c r="G15" s="15" t="str">
        <f t="shared" si="0"/>
        <v>Sale</v>
      </c>
      <c r="H15" s="15">
        <v>89.99</v>
      </c>
      <c r="I15" s="15">
        <v>0</v>
      </c>
      <c r="J15" s="15">
        <v>89.99</v>
      </c>
      <c r="K15" s="15">
        <f t="shared" si="1"/>
        <v>89.99</v>
      </c>
      <c r="L15" s="16">
        <v>89.99</v>
      </c>
      <c r="M15" s="15">
        <f t="shared" si="2"/>
        <v>0</v>
      </c>
      <c r="N15" s="13" t="s">
        <v>37</v>
      </c>
    </row>
    <row r="16" spans="1:14">
      <c r="A16" s="12">
        <v>45664</v>
      </c>
      <c r="B16" s="13" t="s">
        <v>40</v>
      </c>
      <c r="C16" s="13" t="s">
        <v>56</v>
      </c>
      <c r="D16" s="14" t="s">
        <v>53</v>
      </c>
      <c r="E16" s="13" t="s">
        <v>54</v>
      </c>
      <c r="F16" s="15">
        <v>2</v>
      </c>
      <c r="G16" s="15" t="str">
        <f t="shared" si="0"/>
        <v>Sale</v>
      </c>
      <c r="H16" s="15">
        <v>24.99</v>
      </c>
      <c r="I16" s="15">
        <v>50</v>
      </c>
      <c r="J16" s="15">
        <v>24.99</v>
      </c>
      <c r="K16" s="15">
        <f t="shared" si="1"/>
        <v>24.99</v>
      </c>
      <c r="L16" s="16">
        <v>24.99</v>
      </c>
      <c r="M16" s="15">
        <f t="shared" si="2"/>
        <v>0</v>
      </c>
      <c r="N16" s="13" t="s">
        <v>57</v>
      </c>
    </row>
    <row r="17" spans="1:14">
      <c r="A17" s="12">
        <v>45664</v>
      </c>
      <c r="B17" s="13" t="s">
        <v>40</v>
      </c>
      <c r="C17" s="13" t="s">
        <v>56</v>
      </c>
      <c r="D17" s="14" t="s">
        <v>53</v>
      </c>
      <c r="E17" s="13" t="s">
        <v>54</v>
      </c>
      <c r="F17" s="15">
        <v>2</v>
      </c>
      <c r="G17" s="15" t="str">
        <f t="shared" si="0"/>
        <v>Sale</v>
      </c>
      <c r="H17" s="15">
        <v>24.99</v>
      </c>
      <c r="I17" s="15">
        <v>0</v>
      </c>
      <c r="J17" s="15">
        <v>49.98</v>
      </c>
      <c r="K17" s="15">
        <f t="shared" si="1"/>
        <v>49.98</v>
      </c>
      <c r="L17" s="16">
        <v>49.98</v>
      </c>
      <c r="M17" s="15">
        <f t="shared" si="2"/>
        <v>0</v>
      </c>
      <c r="N17" s="13" t="s">
        <v>57</v>
      </c>
    </row>
    <row r="18" spans="1:14">
      <c r="A18" s="12">
        <v>45665</v>
      </c>
      <c r="B18" s="13" t="s">
        <v>47</v>
      </c>
      <c r="C18" s="13" t="s">
        <v>58</v>
      </c>
      <c r="D18" s="14" t="s">
        <v>35</v>
      </c>
      <c r="E18" s="13" t="s">
        <v>36</v>
      </c>
      <c r="F18" s="15">
        <v>1</v>
      </c>
      <c r="G18" s="15" t="str">
        <f t="shared" si="0"/>
        <v>Sale</v>
      </c>
      <c r="H18" s="15">
        <v>19.989999999999998</v>
      </c>
      <c r="I18" s="15">
        <v>0</v>
      </c>
      <c r="J18" s="15">
        <v>19.989999999999998</v>
      </c>
      <c r="K18" s="15">
        <f t="shared" si="1"/>
        <v>19.989999999999998</v>
      </c>
      <c r="L18" s="16">
        <v>19.989999999999998</v>
      </c>
      <c r="M18" s="15">
        <f t="shared" si="2"/>
        <v>0</v>
      </c>
      <c r="N18" s="13" t="s">
        <v>39</v>
      </c>
    </row>
    <row r="19" spans="1:14">
      <c r="A19" s="12">
        <v>45665</v>
      </c>
      <c r="B19" s="13" t="s">
        <v>47</v>
      </c>
      <c r="C19" s="13" t="s">
        <v>58</v>
      </c>
      <c r="D19" s="14" t="s">
        <v>38</v>
      </c>
      <c r="E19" s="13" t="s">
        <v>36</v>
      </c>
      <c r="F19" s="15">
        <v>1</v>
      </c>
      <c r="G19" s="15" t="str">
        <f t="shared" si="0"/>
        <v>Sale</v>
      </c>
      <c r="H19" s="15">
        <v>49.5</v>
      </c>
      <c r="I19" s="15">
        <v>0</v>
      </c>
      <c r="J19" s="15">
        <v>49.5</v>
      </c>
      <c r="K19" s="15">
        <f t="shared" si="1"/>
        <v>49.5</v>
      </c>
      <c r="L19" s="16">
        <v>49.5</v>
      </c>
      <c r="M19" s="15">
        <f t="shared" si="2"/>
        <v>0</v>
      </c>
      <c r="N19" s="13" t="s">
        <v>37</v>
      </c>
    </row>
    <row r="20" spans="1:14">
      <c r="A20" s="12">
        <v>45665</v>
      </c>
      <c r="B20" s="13" t="s">
        <v>47</v>
      </c>
      <c r="C20" s="13" t="s">
        <v>58</v>
      </c>
      <c r="D20" s="14" t="s">
        <v>38</v>
      </c>
      <c r="E20" s="13" t="s">
        <v>36</v>
      </c>
      <c r="F20" s="15">
        <v>1</v>
      </c>
      <c r="G20" s="15" t="str">
        <f t="shared" si="0"/>
        <v>Sale</v>
      </c>
      <c r="H20" s="15">
        <v>49.5</v>
      </c>
      <c r="I20" s="15">
        <v>0</v>
      </c>
      <c r="J20" s="15">
        <v>49.5</v>
      </c>
      <c r="K20" s="15">
        <f t="shared" si="1"/>
        <v>49.5</v>
      </c>
      <c r="L20" s="16">
        <v>49.5</v>
      </c>
      <c r="M20" s="15">
        <f t="shared" si="2"/>
        <v>0</v>
      </c>
      <c r="N20" s="13" t="s">
        <v>37</v>
      </c>
    </row>
    <row r="21" spans="1:14">
      <c r="A21" s="12">
        <v>45666</v>
      </c>
      <c r="B21" s="13" t="s">
        <v>51</v>
      </c>
      <c r="C21" s="13" t="s">
        <v>59</v>
      </c>
      <c r="D21" s="14" t="s">
        <v>42</v>
      </c>
      <c r="E21" s="13" t="s">
        <v>43</v>
      </c>
      <c r="F21" s="15">
        <v>1</v>
      </c>
      <c r="G21" s="15" t="str">
        <f t="shared" si="0"/>
        <v>Sale</v>
      </c>
      <c r="H21" s="15">
        <v>59.99</v>
      </c>
      <c r="I21" s="15">
        <v>0</v>
      </c>
      <c r="J21" s="15">
        <v>59.99</v>
      </c>
      <c r="K21" s="15">
        <f t="shared" si="1"/>
        <v>59.99</v>
      </c>
      <c r="L21" s="16">
        <v>59.99</v>
      </c>
      <c r="M21" s="15">
        <f t="shared" si="2"/>
        <v>0</v>
      </c>
      <c r="N21" s="13" t="s">
        <v>44</v>
      </c>
    </row>
    <row r="22" spans="1:14">
      <c r="A22" s="12">
        <v>45666</v>
      </c>
      <c r="B22" s="13" t="s">
        <v>51</v>
      </c>
      <c r="C22" s="13" t="s">
        <v>59</v>
      </c>
      <c r="D22" s="14" t="s">
        <v>42</v>
      </c>
      <c r="E22" s="13" t="s">
        <v>43</v>
      </c>
      <c r="F22" s="15">
        <v>1</v>
      </c>
      <c r="G22" s="15" t="str">
        <f t="shared" si="0"/>
        <v>Sale</v>
      </c>
      <c r="H22" s="15">
        <v>59.99</v>
      </c>
      <c r="I22" s="15">
        <v>0</v>
      </c>
      <c r="J22" s="15">
        <v>60</v>
      </c>
      <c r="K22" s="15">
        <f t="shared" si="1"/>
        <v>59.99</v>
      </c>
      <c r="L22" s="16">
        <v>59.99</v>
      </c>
      <c r="M22" s="15">
        <f t="shared" si="2"/>
        <v>-9.9999999999980105E-3</v>
      </c>
      <c r="N22" s="13" t="s">
        <v>44</v>
      </c>
    </row>
    <row r="23" spans="1:14">
      <c r="A23" s="12">
        <v>45666</v>
      </c>
      <c r="B23" s="13" t="s">
        <v>51</v>
      </c>
      <c r="C23" s="13" t="s">
        <v>59</v>
      </c>
      <c r="D23" s="14" t="s">
        <v>45</v>
      </c>
      <c r="E23" s="13" t="s">
        <v>46</v>
      </c>
      <c r="F23" s="15">
        <v>4.5</v>
      </c>
      <c r="G23" s="15" t="str">
        <f t="shared" si="0"/>
        <v>Sale</v>
      </c>
      <c r="H23" s="15">
        <v>0</v>
      </c>
      <c r="I23" s="15">
        <v>0</v>
      </c>
      <c r="J23" s="15">
        <v>0</v>
      </c>
      <c r="K23" s="15">
        <f t="shared" si="1"/>
        <v>0</v>
      </c>
      <c r="L23" s="16">
        <v>0</v>
      </c>
      <c r="M23" s="15">
        <f t="shared" si="2"/>
        <v>0</v>
      </c>
      <c r="N23" s="13" t="s">
        <v>44</v>
      </c>
    </row>
    <row r="24" spans="1:14">
      <c r="A24" s="12">
        <v>45667</v>
      </c>
      <c r="B24" s="13" t="s">
        <v>33</v>
      </c>
      <c r="C24" s="13" t="s">
        <v>34</v>
      </c>
      <c r="D24" s="14" t="s">
        <v>49</v>
      </c>
      <c r="E24" s="13" t="s">
        <v>50</v>
      </c>
      <c r="F24" s="15">
        <v>2</v>
      </c>
      <c r="G24" s="15" t="str">
        <f t="shared" si="0"/>
        <v>Sale</v>
      </c>
      <c r="H24" s="15">
        <v>89.99</v>
      </c>
      <c r="I24" s="15">
        <v>10</v>
      </c>
      <c r="J24" s="15">
        <v>161.982</v>
      </c>
      <c r="K24" s="15">
        <f t="shared" si="1"/>
        <v>161.982</v>
      </c>
      <c r="L24" s="16">
        <v>161.97999999999999</v>
      </c>
      <c r="M24" s="15">
        <f t="shared" si="2"/>
        <v>0</v>
      </c>
      <c r="N24" s="13" t="s">
        <v>37</v>
      </c>
    </row>
    <row r="25" spans="1:14">
      <c r="A25" s="12">
        <v>45667</v>
      </c>
      <c r="B25" s="13" t="s">
        <v>33</v>
      </c>
      <c r="C25" s="13" t="s">
        <v>34</v>
      </c>
      <c r="D25" s="14" t="s">
        <v>60</v>
      </c>
      <c r="E25" s="13" t="s">
        <v>61</v>
      </c>
      <c r="F25" s="15">
        <v>1</v>
      </c>
      <c r="G25" s="15" t="str">
        <f t="shared" si="0"/>
        <v>Sale</v>
      </c>
      <c r="H25" s="15">
        <v>100</v>
      </c>
      <c r="I25" s="15">
        <v>0</v>
      </c>
      <c r="J25" s="15">
        <v>100</v>
      </c>
      <c r="K25" s="15">
        <f t="shared" si="1"/>
        <v>100</v>
      </c>
      <c r="L25" s="16">
        <v>100</v>
      </c>
      <c r="M25" s="15">
        <f t="shared" si="2"/>
        <v>0</v>
      </c>
      <c r="N25" s="13" t="s">
        <v>37</v>
      </c>
    </row>
    <row r="26" spans="1:14">
      <c r="A26" s="12">
        <v>45667</v>
      </c>
      <c r="B26" s="13" t="s">
        <v>40</v>
      </c>
      <c r="C26" s="13" t="s">
        <v>41</v>
      </c>
      <c r="D26" s="14" t="s">
        <v>35</v>
      </c>
      <c r="E26" s="13" t="s">
        <v>36</v>
      </c>
      <c r="F26" s="15">
        <v>1</v>
      </c>
      <c r="G26" s="15" t="str">
        <f t="shared" si="0"/>
        <v>Sale</v>
      </c>
      <c r="H26" s="15">
        <v>19.989999999999998</v>
      </c>
      <c r="I26" s="15">
        <v>0</v>
      </c>
      <c r="J26" s="15">
        <v>19.989999999999998</v>
      </c>
      <c r="K26" s="15">
        <f t="shared" si="1"/>
        <v>19.989999999999998</v>
      </c>
      <c r="L26" s="16">
        <v>19.989999999999998</v>
      </c>
      <c r="M26" s="15">
        <f t="shared" si="2"/>
        <v>0</v>
      </c>
      <c r="N26" s="13" t="s">
        <v>39</v>
      </c>
    </row>
    <row r="27" spans="1:14">
      <c r="A27" s="12">
        <v>45667</v>
      </c>
      <c r="B27" s="13" t="s">
        <v>40</v>
      </c>
      <c r="C27" s="13" t="s">
        <v>41</v>
      </c>
      <c r="D27" s="14" t="s">
        <v>35</v>
      </c>
      <c r="E27" s="13" t="s">
        <v>36</v>
      </c>
      <c r="F27" s="15">
        <v>1</v>
      </c>
      <c r="G27" s="15" t="str">
        <f t="shared" si="0"/>
        <v>Sale</v>
      </c>
      <c r="H27" s="15">
        <v>0</v>
      </c>
      <c r="I27" s="15">
        <v>19.989999999999998</v>
      </c>
      <c r="J27" s="15"/>
      <c r="K27" s="15">
        <f t="shared" si="1"/>
        <v>0</v>
      </c>
      <c r="L27" s="16">
        <v>0</v>
      </c>
      <c r="M27" s="15">
        <f t="shared" si="2"/>
        <v>0</v>
      </c>
      <c r="N27" s="13" t="s">
        <v>39</v>
      </c>
    </row>
    <row r="28" spans="1:14">
      <c r="A28" s="12">
        <v>45668</v>
      </c>
      <c r="B28" s="13" t="s">
        <v>47</v>
      </c>
      <c r="C28" s="13" t="s">
        <v>48</v>
      </c>
      <c r="D28" s="14" t="s">
        <v>38</v>
      </c>
      <c r="E28" s="13" t="s">
        <v>36</v>
      </c>
      <c r="F28" s="15">
        <v>1</v>
      </c>
      <c r="G28" s="15" t="str">
        <f t="shared" si="0"/>
        <v>Sale</v>
      </c>
      <c r="H28" s="15">
        <v>49.5</v>
      </c>
      <c r="I28" s="15">
        <v>5</v>
      </c>
      <c r="J28" s="15">
        <v>47.024999999999999</v>
      </c>
      <c r="K28" s="15">
        <f t="shared" si="1"/>
        <v>47.024999999999999</v>
      </c>
      <c r="L28" s="16">
        <v>47.02</v>
      </c>
      <c r="M28" s="15">
        <f t="shared" si="2"/>
        <v>0</v>
      </c>
      <c r="N28" s="13" t="s">
        <v>37</v>
      </c>
    </row>
    <row r="29" spans="1:14">
      <c r="A29" s="12">
        <v>45668</v>
      </c>
      <c r="B29" s="13" t="s">
        <v>47</v>
      </c>
      <c r="C29" s="13" t="s">
        <v>48</v>
      </c>
      <c r="D29" s="14" t="s">
        <v>53</v>
      </c>
      <c r="E29" s="13" t="s">
        <v>54</v>
      </c>
      <c r="F29" s="15">
        <v>1</v>
      </c>
      <c r="G29" s="15" t="str">
        <f t="shared" si="0"/>
        <v>Sale</v>
      </c>
      <c r="H29" s="15">
        <v>24.99</v>
      </c>
      <c r="I29" s="15">
        <v>0</v>
      </c>
      <c r="J29" s="15">
        <v>24.99</v>
      </c>
      <c r="K29" s="15">
        <f t="shared" si="1"/>
        <v>24.99</v>
      </c>
      <c r="L29" s="16">
        <v>24.99</v>
      </c>
      <c r="M29" s="15">
        <f t="shared" si="2"/>
        <v>0</v>
      </c>
      <c r="N29" s="13" t="s">
        <v>37</v>
      </c>
    </row>
    <row r="31" spans="1:14">
      <c r="K31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ABFA-5F0B-4B71-BC6A-78F3076559B2}">
  <dimension ref="A1:R42"/>
  <sheetViews>
    <sheetView tabSelected="1" zoomScale="45" zoomScaleNormal="141" workbookViewId="0">
      <selection activeCell="N42" sqref="N42"/>
    </sheetView>
  </sheetViews>
  <sheetFormatPr defaultRowHeight="14.25"/>
  <cols>
    <col min="1" max="1" width="19.265625" customWidth="1"/>
    <col min="2" max="2" width="10.73046875" customWidth="1"/>
    <col min="3" max="3" width="19.59765625" customWidth="1"/>
    <col min="5" max="5" width="10" bestFit="1" customWidth="1"/>
    <col min="6" max="6" width="18.06640625" bestFit="1" customWidth="1"/>
    <col min="17" max="17" width="14.86328125" bestFit="1" customWidth="1"/>
    <col min="18" max="18" width="18.3984375" bestFit="1" customWidth="1"/>
  </cols>
  <sheetData>
    <row r="1" spans="1:18" ht="15.75">
      <c r="A1" s="4" t="s">
        <v>13</v>
      </c>
    </row>
    <row r="3" spans="1:18">
      <c r="A3" s="1" t="s">
        <v>0</v>
      </c>
      <c r="B3" s="1" t="s">
        <v>1</v>
      </c>
      <c r="C3" s="1" t="s">
        <v>2</v>
      </c>
    </row>
    <row r="4" spans="1:18">
      <c r="A4" s="2" t="s">
        <v>3</v>
      </c>
      <c r="B4" s="3">
        <v>1320</v>
      </c>
      <c r="C4" s="3" t="s">
        <v>4</v>
      </c>
    </row>
    <row r="5" spans="1:18">
      <c r="A5" s="2" t="s">
        <v>5</v>
      </c>
      <c r="B5" s="3">
        <v>1304</v>
      </c>
      <c r="C5" s="3" t="s">
        <v>6</v>
      </c>
    </row>
    <row r="6" spans="1:18">
      <c r="A6" s="2" t="s">
        <v>7</v>
      </c>
      <c r="B6" s="3">
        <v>-20</v>
      </c>
      <c r="C6" s="3" t="s">
        <v>8</v>
      </c>
    </row>
    <row r="7" spans="1:18">
      <c r="A7" s="2" t="s">
        <v>9</v>
      </c>
      <c r="B7" s="3">
        <v>44</v>
      </c>
      <c r="C7" s="3" t="s">
        <v>10</v>
      </c>
    </row>
    <row r="8" spans="1:18">
      <c r="A8" s="2" t="s">
        <v>11</v>
      </c>
      <c r="B8" s="3">
        <v>50.15</v>
      </c>
      <c r="C8" s="3" t="s">
        <v>12</v>
      </c>
    </row>
    <row r="11" spans="1:18" ht="15.75">
      <c r="A11" s="4" t="s">
        <v>14</v>
      </c>
    </row>
    <row r="13" spans="1:18" ht="15.75">
      <c r="A13" s="6" t="s">
        <v>15</v>
      </c>
      <c r="E13" s="18" t="s">
        <v>20</v>
      </c>
      <c r="F13" t="s">
        <v>63</v>
      </c>
      <c r="I13" s="4" t="s">
        <v>68</v>
      </c>
      <c r="Q13" s="18" t="s">
        <v>22</v>
      </c>
      <c r="R13" t="s">
        <v>63</v>
      </c>
    </row>
    <row r="14" spans="1:18">
      <c r="E14" t="s">
        <v>33</v>
      </c>
      <c r="F14" s="17">
        <v>403.02</v>
      </c>
      <c r="Q14" t="s">
        <v>45</v>
      </c>
      <c r="R14" s="17">
        <v>49.5</v>
      </c>
    </row>
    <row r="15" spans="1:18">
      <c r="A15" s="5" t="s">
        <v>16</v>
      </c>
      <c r="E15" t="s">
        <v>40</v>
      </c>
      <c r="F15" s="17">
        <v>378.42</v>
      </c>
      <c r="I15" s="5" t="s">
        <v>69</v>
      </c>
      <c r="Q15" t="s">
        <v>35</v>
      </c>
      <c r="R15" s="17">
        <v>59.97</v>
      </c>
    </row>
    <row r="16" spans="1:18">
      <c r="A16" s="5" t="s">
        <v>17</v>
      </c>
      <c r="E16" t="s">
        <v>47</v>
      </c>
      <c r="F16" s="17">
        <v>262.99</v>
      </c>
      <c r="I16" s="5" t="s">
        <v>70</v>
      </c>
      <c r="Q16" t="s">
        <v>60</v>
      </c>
      <c r="R16" s="17">
        <v>100</v>
      </c>
    </row>
    <row r="17" spans="1:18">
      <c r="A17" s="5" t="s">
        <v>18</v>
      </c>
      <c r="E17" t="s">
        <v>51</v>
      </c>
      <c r="F17" s="17">
        <v>243.97</v>
      </c>
      <c r="I17" s="5" t="s">
        <v>71</v>
      </c>
      <c r="Q17" t="s">
        <v>53</v>
      </c>
      <c r="R17" s="17">
        <v>124.94999999999999</v>
      </c>
    </row>
    <row r="18" spans="1:18">
      <c r="Q18" t="s">
        <v>42</v>
      </c>
      <c r="R18" s="17">
        <v>290.95</v>
      </c>
    </row>
    <row r="19" spans="1:18">
      <c r="Q19" t="s">
        <v>49</v>
      </c>
      <c r="R19" s="17">
        <v>323.95999999999998</v>
      </c>
    </row>
    <row r="20" spans="1:18">
      <c r="Q20" t="s">
        <v>38</v>
      </c>
      <c r="R20" s="17">
        <v>339.07</v>
      </c>
    </row>
    <row r="38" spans="1:15" ht="28.5">
      <c r="A38" s="5" t="s">
        <v>64</v>
      </c>
      <c r="I38" s="4" t="s">
        <v>72</v>
      </c>
      <c r="N38" s="19" t="s">
        <v>21</v>
      </c>
      <c r="O38" s="19" t="s">
        <v>7</v>
      </c>
    </row>
    <row r="39" spans="1:15">
      <c r="N39" s="20" t="s">
        <v>55</v>
      </c>
      <c r="O39" s="20">
        <v>-20</v>
      </c>
    </row>
    <row r="40" spans="1:15">
      <c r="A40" t="s">
        <v>65</v>
      </c>
      <c r="I40" s="5" t="s">
        <v>73</v>
      </c>
    </row>
    <row r="41" spans="1:15">
      <c r="A41" t="s">
        <v>66</v>
      </c>
      <c r="I41" s="5" t="s">
        <v>74</v>
      </c>
    </row>
    <row r="42" spans="1:15">
      <c r="A42" t="s">
        <v>67</v>
      </c>
      <c r="I42" s="5" t="s">
        <v>75</v>
      </c>
      <c r="N42" s="21" t="s">
        <v>76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Bhagat</dc:creator>
  <cp:lastModifiedBy>Rahul Bhagat</cp:lastModifiedBy>
  <dcterms:created xsi:type="dcterms:W3CDTF">2026-01-24T14:24:07Z</dcterms:created>
  <dcterms:modified xsi:type="dcterms:W3CDTF">2026-01-24T16:31:03Z</dcterms:modified>
</cp:coreProperties>
</file>